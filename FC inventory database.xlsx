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 inventory" sheetId="1" r:id="rId4"/>
    <sheet state="visible" name="Apata" sheetId="2" r:id="rId5"/>
    <sheet state="visible" name="Alakia" sheetId="3" r:id="rId6"/>
    <sheet state="visible" name="Bashorun" sheetId="4" r:id="rId7"/>
    <sheet state="visible" name="BCT" sheetId="5" r:id="rId8"/>
    <sheet state="visible" name="Eleyele" sheetId="6" r:id="rId9"/>
    <sheet state="visible" name="Felele" sheetId="7" r:id="rId10"/>
    <sheet state="visible" name="Closing stock" sheetId="8" r:id="rId11"/>
    <sheet state="visible" name="Total Sales" sheetId="9" r:id="rId12"/>
    <sheet state="visible" name="Daily sales" sheetId="10" r:id="rId13"/>
  </sheets>
  <definedNames/>
  <calcPr/>
</workbook>
</file>

<file path=xl/sharedStrings.xml><?xml version="1.0" encoding="utf-8"?>
<sst xmlns="http://schemas.openxmlformats.org/spreadsheetml/2006/main" count="445" uniqueCount="56">
  <si>
    <t>Date</t>
  </si>
  <si>
    <t>Name of FC</t>
  </si>
  <si>
    <t xml:space="preserve">Movement </t>
  </si>
  <si>
    <t>Agemawo 1kg</t>
  </si>
  <si>
    <t>Boneless Beef 1kg</t>
  </si>
  <si>
    <t>Cow Hump 1kg</t>
  </si>
  <si>
    <t>Cow Head &amp; Neck 1kg</t>
  </si>
  <si>
    <t>Goat Meat 1kg</t>
  </si>
  <si>
    <t>Chicken 1kg</t>
  </si>
  <si>
    <t>Titus 1kg (uncleaned)</t>
  </si>
  <si>
    <t>Titus 1kg (Cleaned)</t>
  </si>
  <si>
    <t>Hake 1kg (Cleaned)</t>
  </si>
  <si>
    <t>Hake 1kg (Uncleaned)</t>
  </si>
  <si>
    <t>Value Pack (Cow Tongue)</t>
  </si>
  <si>
    <t>Value Pack (Cow Assorted)</t>
  </si>
  <si>
    <t>Token Pack (Cow Minced Meat)</t>
  </si>
  <si>
    <t>Token Pack (Agemawo)</t>
  </si>
  <si>
    <t>Token pack(boneless beef)</t>
  </si>
  <si>
    <t>Token Pack (Cow Tail)</t>
  </si>
  <si>
    <t>Token Pack (Cow Head &amp; Neck)</t>
  </si>
  <si>
    <t>Token Pack (Cow Hump)</t>
  </si>
  <si>
    <t>Token Pack (Goat Meat)</t>
  </si>
  <si>
    <t>Token Pack (Chicken)</t>
  </si>
  <si>
    <t>Token Pack (Chicken Gizzard)</t>
  </si>
  <si>
    <t>Token Pack (Pomo)</t>
  </si>
  <si>
    <t>Token Pack (Shaki &amp; Roundabout)</t>
  </si>
  <si>
    <t>Token Pack (Cow Assorted)</t>
  </si>
  <si>
    <t>Token Pack (Cow Leg)</t>
  </si>
  <si>
    <t>Token Pack (Goat Assorted)</t>
  </si>
  <si>
    <t>Token Pack (Titus)</t>
  </si>
  <si>
    <t>Token Pack (Hake)</t>
  </si>
  <si>
    <t>Token (small snail)</t>
  </si>
  <si>
    <t>Token (big snail)</t>
  </si>
  <si>
    <t>Token (Goat head &amp; leg)</t>
  </si>
  <si>
    <t>BCT</t>
  </si>
  <si>
    <t>In</t>
  </si>
  <si>
    <t>Bashorun</t>
  </si>
  <si>
    <t>Apata</t>
  </si>
  <si>
    <t>Out</t>
  </si>
  <si>
    <t>Felele</t>
  </si>
  <si>
    <t>Alakia</t>
  </si>
  <si>
    <t>Stock Count</t>
  </si>
  <si>
    <t xml:space="preserve">Opening Stock </t>
  </si>
  <si>
    <t>Returned</t>
  </si>
  <si>
    <t xml:space="preserve">Balance </t>
  </si>
  <si>
    <t>.</t>
  </si>
  <si>
    <t>Name of fulfillment centre</t>
  </si>
  <si>
    <t>Eleyele</t>
  </si>
  <si>
    <t>TOTAL</t>
  </si>
  <si>
    <t>PRICE PER SKU</t>
  </si>
  <si>
    <t>TOTAL COST PER SKU</t>
  </si>
  <si>
    <t>SUM TOTAL OF STOCK LEFT</t>
  </si>
  <si>
    <t>PRODUCT</t>
  </si>
  <si>
    <t>Total price per sku sold daily</t>
  </si>
  <si>
    <t>TOTAL UNIT SOLD ACROSS ALL CENTRES</t>
  </si>
  <si>
    <t>AVERAGE COST PER SKU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</si>
</sst>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/dd/yy"/>
    <numFmt numFmtId="166" formatCode="m/d/yy"/>
    <numFmt numFmtId="167" formatCode="m/d/yyyy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9.0"/>
      <color rgb="FF000000"/>
      <name val="&quot;Google Sans Mono&quot;"/>
    </font>
    <font>
      <b/>
      <sz val="11.0"/>
      <color theme="1"/>
      <name val="Inconsolata"/>
    </font>
    <font>
      <b/>
      <color theme="1"/>
      <name val="Arial"/>
      <scheme val="minor"/>
    </font>
    <font>
      <b/>
      <sz val="9.0"/>
      <color rgb="FF000000"/>
      <name val="&quot;Google Sans Mono&quot;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0000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3" fontId="5" numFmtId="165" xfId="0" applyAlignment="1" applyFill="1" applyFont="1" applyNumberFormat="1">
      <alignment horizontal="left"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2" numFmtId="14" xfId="0" applyAlignment="1" applyFont="1" applyNumberFormat="1">
      <alignment horizontal="right" shrinkToFit="0" vertical="bottom" wrapText="1"/>
    </xf>
    <xf borderId="0" fillId="2" fontId="2" numFmtId="0" xfId="0" applyAlignment="1" applyFont="1">
      <alignment vertical="bottom"/>
    </xf>
    <xf borderId="0" fillId="0" fontId="6" numFmtId="0" xfId="0" applyFont="1"/>
    <xf borderId="0" fillId="2" fontId="7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1" fillId="0" fontId="8" numFmtId="0" xfId="0" applyBorder="1" applyFont="1"/>
    <xf borderId="1" fillId="0" fontId="8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4" fontId="1" numFmtId="0" xfId="0" applyAlignment="1" applyBorder="1" applyFill="1" applyFont="1">
      <alignment vertical="bottom"/>
    </xf>
    <xf borderId="1" fillId="0" fontId="9" numFmtId="0" xfId="0" applyBorder="1" applyFont="1"/>
    <xf borderId="1" fillId="5" fontId="8" numFmtId="0" xfId="0" applyAlignment="1" applyBorder="1" applyFill="1" applyFont="1">
      <alignment readingOrder="0"/>
    </xf>
    <xf borderId="1" fillId="5" fontId="10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10" numFmtId="0" xfId="0" applyBorder="1" applyFont="1"/>
    <xf borderId="1" fillId="0" fontId="3" numFmtId="0" xfId="0" applyAlignment="1" applyBorder="1" applyFont="1">
      <alignment readingOrder="0"/>
    </xf>
    <xf borderId="1" fillId="0" fontId="11" numFmtId="0" xfId="0" applyBorder="1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/>
    </xf>
    <xf borderId="1" fillId="0" fontId="3" numFmtId="167" xfId="0" applyBorder="1" applyFont="1" applyNumberFormat="1"/>
    <xf borderId="1" fillId="0" fontId="3" numFmtId="0" xfId="0" applyBorder="1" applyFont="1"/>
    <xf borderId="1" fillId="6" fontId="8" numFmtId="0" xfId="0" applyBorder="1" applyFill="1" applyFont="1"/>
    <xf borderId="0" fillId="6" fontId="8" numFmtId="0" xfId="0" applyFont="1"/>
    <xf borderId="0" fillId="0" fontId="8" numFmtId="0" xfId="0" applyAlignment="1" applyFont="1">
      <alignment readingOrder="0"/>
    </xf>
    <xf borderId="0" fillId="0" fontId="8" numFmtId="14" xfId="0" applyFont="1" applyNumberFormat="1"/>
    <xf borderId="0" fillId="0" fontId="8" numFmtId="0" xfId="0" applyFont="1"/>
    <xf borderId="2" fillId="0" fontId="8" numFmtId="0" xfId="0" applyAlignment="1" applyBorder="1" applyFont="1">
      <alignment readingOrder="0"/>
    </xf>
    <xf borderId="3" fillId="0" fontId="13" numFmtId="0" xfId="0" applyBorder="1" applyFont="1"/>
    <xf borderId="2" fillId="0" fontId="8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4"/>
      <c r="AJ1" s="4"/>
      <c r="AK1" s="4"/>
      <c r="AL1" s="4"/>
    </row>
    <row r="2">
      <c r="A2" s="6">
        <v>45317.0</v>
      </c>
      <c r="B2" s="7" t="s">
        <v>34</v>
      </c>
      <c r="C2" s="7" t="s">
        <v>35</v>
      </c>
      <c r="D2" s="7">
        <v>13.0</v>
      </c>
      <c r="E2" s="7">
        <v>5.0</v>
      </c>
      <c r="F2" s="7">
        <v>2.0</v>
      </c>
      <c r="G2" s="7">
        <v>3.0</v>
      </c>
      <c r="H2" s="7">
        <v>2.0</v>
      </c>
      <c r="I2" s="7">
        <v>60.0</v>
      </c>
      <c r="N2" s="7">
        <v>1.0</v>
      </c>
      <c r="O2" s="7">
        <v>2.0</v>
      </c>
      <c r="Q2" s="7">
        <v>17.0</v>
      </c>
      <c r="R2" s="7">
        <v>10.0</v>
      </c>
      <c r="S2" s="7">
        <v>2.0</v>
      </c>
      <c r="W2" s="7">
        <v>20.0</v>
      </c>
      <c r="X2" s="7">
        <v>5.0</v>
      </c>
      <c r="AA2" s="7">
        <v>6.0</v>
      </c>
      <c r="AB2" s="7">
        <v>5.0</v>
      </c>
      <c r="AC2" s="7">
        <v>1.0</v>
      </c>
    </row>
    <row r="3">
      <c r="A3" s="6">
        <v>45317.0</v>
      </c>
      <c r="B3" s="7" t="s">
        <v>36</v>
      </c>
      <c r="C3" s="7" t="s">
        <v>35</v>
      </c>
      <c r="D3" s="7">
        <v>13.0</v>
      </c>
      <c r="E3" s="7">
        <v>5.0</v>
      </c>
      <c r="G3" s="7">
        <v>3.0</v>
      </c>
      <c r="H3" s="7">
        <v>2.0</v>
      </c>
      <c r="I3" s="7">
        <v>60.0</v>
      </c>
      <c r="O3" s="7">
        <v>3.0</v>
      </c>
      <c r="R3" s="7">
        <v>10.0</v>
      </c>
      <c r="S3" s="7">
        <v>2.0</v>
      </c>
      <c r="W3" s="7">
        <v>17.0</v>
      </c>
      <c r="AA3" s="7">
        <v>6.0</v>
      </c>
      <c r="AB3" s="7">
        <v>5.0</v>
      </c>
      <c r="AC3" s="7">
        <v>1.0</v>
      </c>
    </row>
    <row r="4">
      <c r="A4" s="6">
        <v>45317.0</v>
      </c>
      <c r="B4" s="7" t="s">
        <v>37</v>
      </c>
      <c r="C4" s="7" t="s">
        <v>35</v>
      </c>
      <c r="D4" s="7">
        <v>13.0</v>
      </c>
      <c r="E4" s="7">
        <v>4.0</v>
      </c>
      <c r="F4" s="7">
        <v>1.0</v>
      </c>
      <c r="G4" s="7">
        <v>3.0</v>
      </c>
      <c r="H4" s="7">
        <v>1.0</v>
      </c>
      <c r="I4" s="7">
        <v>60.0</v>
      </c>
      <c r="N4" s="7">
        <v>1.0</v>
      </c>
      <c r="O4" s="7">
        <v>2.0</v>
      </c>
      <c r="Q4" s="7">
        <v>17.0</v>
      </c>
      <c r="R4" s="7">
        <v>10.0</v>
      </c>
      <c r="S4" s="7">
        <v>2.0</v>
      </c>
      <c r="W4" s="7">
        <v>20.0</v>
      </c>
      <c r="X4" s="7">
        <v>5.0</v>
      </c>
      <c r="AA4" s="7">
        <v>6.0</v>
      </c>
      <c r="AB4" s="7">
        <v>4.0</v>
      </c>
      <c r="AC4" s="7">
        <v>1.0</v>
      </c>
    </row>
    <row r="5">
      <c r="A5" s="6">
        <v>45317.0</v>
      </c>
      <c r="B5" s="7" t="s">
        <v>34</v>
      </c>
      <c r="C5" s="7" t="s">
        <v>38</v>
      </c>
      <c r="D5" s="7">
        <v>4.0</v>
      </c>
      <c r="W5" s="7">
        <v>2.0</v>
      </c>
    </row>
    <row r="6">
      <c r="A6" s="6">
        <v>45318.0</v>
      </c>
      <c r="B6" s="7" t="s">
        <v>36</v>
      </c>
      <c r="C6" s="7" t="s">
        <v>35</v>
      </c>
      <c r="Q6" s="7">
        <v>17.0</v>
      </c>
      <c r="W6" s="7">
        <v>3.0</v>
      </c>
      <c r="X6" s="7">
        <v>5.0</v>
      </c>
    </row>
    <row r="7">
      <c r="A7" s="6">
        <v>45318.0</v>
      </c>
      <c r="B7" s="7" t="s">
        <v>39</v>
      </c>
      <c r="C7" s="7" t="s">
        <v>35</v>
      </c>
      <c r="D7" s="7">
        <v>11.0</v>
      </c>
      <c r="E7" s="7">
        <v>4.0</v>
      </c>
      <c r="F7" s="7">
        <v>2.0</v>
      </c>
      <c r="G7" s="7">
        <v>3.0</v>
      </c>
      <c r="H7" s="7">
        <v>2.0</v>
      </c>
      <c r="I7" s="7">
        <v>45.0</v>
      </c>
      <c r="N7" s="7">
        <v>1.0</v>
      </c>
      <c r="O7" s="7">
        <v>2.0</v>
      </c>
      <c r="Q7" s="7">
        <v>17.0</v>
      </c>
      <c r="R7" s="7">
        <v>10.0</v>
      </c>
      <c r="S7" s="7">
        <v>2.0</v>
      </c>
      <c r="W7" s="7">
        <v>20.0</v>
      </c>
      <c r="X7" s="7">
        <v>5.0</v>
      </c>
      <c r="AA7" s="7">
        <v>6.0</v>
      </c>
      <c r="AB7" s="7">
        <v>5.0</v>
      </c>
      <c r="AC7" s="7">
        <v>1.0</v>
      </c>
    </row>
    <row r="8">
      <c r="A8" s="6">
        <v>45318.0</v>
      </c>
      <c r="B8" s="7" t="s">
        <v>37</v>
      </c>
      <c r="C8" s="7" t="s">
        <v>38</v>
      </c>
      <c r="D8" s="7">
        <v>1.0</v>
      </c>
      <c r="I8" s="7">
        <v>2.0</v>
      </c>
      <c r="R8" s="7">
        <v>1.0</v>
      </c>
      <c r="AA8" s="7">
        <v>1.0</v>
      </c>
      <c r="AB8" s="7">
        <v>1.0</v>
      </c>
    </row>
    <row r="9">
      <c r="A9" s="6">
        <v>45318.0</v>
      </c>
      <c r="B9" s="7" t="s">
        <v>34</v>
      </c>
      <c r="C9" s="7" t="s">
        <v>38</v>
      </c>
      <c r="D9" s="7">
        <v>3.0</v>
      </c>
      <c r="E9" s="7">
        <v>1.0</v>
      </c>
      <c r="I9" s="7">
        <v>1.0</v>
      </c>
      <c r="O9" s="7">
        <v>1.0</v>
      </c>
      <c r="Q9" s="7">
        <v>2.0</v>
      </c>
      <c r="R9" s="7">
        <v>1.0</v>
      </c>
      <c r="S9" s="7">
        <v>1.0</v>
      </c>
      <c r="W9" s="7">
        <v>1.0</v>
      </c>
      <c r="X9" s="7">
        <v>1.0</v>
      </c>
      <c r="AA9" s="7">
        <v>2.0</v>
      </c>
      <c r="AB9" s="7">
        <v>1.0</v>
      </c>
    </row>
    <row r="10">
      <c r="A10" s="6">
        <v>45318.0</v>
      </c>
      <c r="B10" s="7" t="s">
        <v>36</v>
      </c>
      <c r="C10" s="7" t="s">
        <v>38</v>
      </c>
      <c r="D10" s="7">
        <v>3.0</v>
      </c>
      <c r="I10" s="7">
        <v>3.0</v>
      </c>
      <c r="O10" s="7">
        <v>3.0</v>
      </c>
      <c r="R10" s="7">
        <v>1.0</v>
      </c>
      <c r="S10" s="7">
        <v>1.0</v>
      </c>
      <c r="W10" s="7">
        <v>3.0</v>
      </c>
      <c r="AA10" s="7">
        <v>1.0</v>
      </c>
      <c r="AB10" s="7">
        <v>1.0</v>
      </c>
    </row>
    <row r="11">
      <c r="A11" s="6">
        <v>45320.0</v>
      </c>
      <c r="B11" s="7" t="s">
        <v>40</v>
      </c>
      <c r="C11" s="7" t="s">
        <v>35</v>
      </c>
      <c r="D11" s="7">
        <v>10.0</v>
      </c>
      <c r="E11" s="7">
        <v>4.0</v>
      </c>
      <c r="F11" s="7">
        <v>1.0</v>
      </c>
      <c r="G11" s="7">
        <v>1.0</v>
      </c>
      <c r="I11" s="7">
        <v>35.0</v>
      </c>
      <c r="N11" s="7">
        <v>1.0</v>
      </c>
      <c r="O11" s="7">
        <v>2.0</v>
      </c>
      <c r="Q11" s="7">
        <v>15.0</v>
      </c>
      <c r="R11" s="7">
        <v>8.0</v>
      </c>
      <c r="S11" s="7">
        <v>2.0</v>
      </c>
      <c r="W11" s="7">
        <v>14.0</v>
      </c>
      <c r="X11" s="7">
        <v>4.0</v>
      </c>
      <c r="AA11" s="7">
        <v>5.0</v>
      </c>
      <c r="AB11" s="7">
        <v>4.0</v>
      </c>
      <c r="AC11" s="7">
        <v>1.0</v>
      </c>
    </row>
    <row r="12">
      <c r="A12" s="6">
        <v>45320.0</v>
      </c>
      <c r="B12" s="7" t="s">
        <v>37</v>
      </c>
      <c r="C12" s="7" t="s">
        <v>38</v>
      </c>
      <c r="D12" s="7">
        <v>1.0</v>
      </c>
    </row>
    <row r="13">
      <c r="A13" s="6">
        <v>45320.0</v>
      </c>
      <c r="B13" s="7" t="s">
        <v>36</v>
      </c>
      <c r="C13" s="7" t="s">
        <v>38</v>
      </c>
      <c r="Q13" s="7">
        <v>1.0</v>
      </c>
      <c r="R13" s="7">
        <v>1.0</v>
      </c>
      <c r="S13" s="7">
        <v>1.0</v>
      </c>
      <c r="W13" s="7">
        <v>1.0</v>
      </c>
      <c r="X13" s="7">
        <v>3.0</v>
      </c>
      <c r="AC13" s="7">
        <v>1.0</v>
      </c>
    </row>
    <row r="14">
      <c r="A14" s="6">
        <v>45320.0</v>
      </c>
      <c r="B14" s="7" t="s">
        <v>40</v>
      </c>
      <c r="C14" s="7" t="s">
        <v>38</v>
      </c>
      <c r="I14" s="7">
        <v>1.0</v>
      </c>
      <c r="AA14" s="7">
        <v>1.0</v>
      </c>
    </row>
    <row r="15">
      <c r="A15" s="6">
        <v>45321.0</v>
      </c>
      <c r="B15" s="7" t="s">
        <v>40</v>
      </c>
      <c r="C15" s="7" t="s">
        <v>38</v>
      </c>
      <c r="F15" s="7">
        <v>1.0</v>
      </c>
      <c r="Q15" s="7">
        <v>1.0</v>
      </c>
      <c r="W15" s="7">
        <v>1.0</v>
      </c>
      <c r="AB15" s="7">
        <v>1.0</v>
      </c>
    </row>
    <row r="16">
      <c r="A16" s="6">
        <v>45321.0</v>
      </c>
      <c r="B16" s="7" t="s">
        <v>36</v>
      </c>
      <c r="C16" s="7" t="s">
        <v>38</v>
      </c>
      <c r="I16" s="7">
        <v>2.0</v>
      </c>
      <c r="Q16" s="7">
        <v>1.0</v>
      </c>
      <c r="W16" s="7">
        <v>1.0</v>
      </c>
    </row>
    <row r="17">
      <c r="A17" s="6">
        <v>45321.0</v>
      </c>
      <c r="B17" s="7" t="s">
        <v>37</v>
      </c>
      <c r="C17" s="7" t="s">
        <v>38</v>
      </c>
      <c r="E17" s="7">
        <v>1.0</v>
      </c>
      <c r="Q17" s="7">
        <v>2.0</v>
      </c>
      <c r="AB17" s="7">
        <v>3.0</v>
      </c>
    </row>
    <row r="18">
      <c r="A18" s="6">
        <v>45321.0</v>
      </c>
      <c r="B18" s="7" t="s">
        <v>34</v>
      </c>
      <c r="C18" s="7" t="s">
        <v>38</v>
      </c>
      <c r="D18" s="7">
        <v>3.0</v>
      </c>
      <c r="AA18" s="7">
        <v>1.0</v>
      </c>
    </row>
    <row r="19">
      <c r="A19" s="6">
        <v>45321.0</v>
      </c>
      <c r="B19" s="7" t="s">
        <v>39</v>
      </c>
      <c r="C19" s="7" t="s">
        <v>38</v>
      </c>
      <c r="D19" s="7">
        <v>1.0</v>
      </c>
      <c r="I19" s="7">
        <v>1.0</v>
      </c>
      <c r="Q19" s="7">
        <v>1.0</v>
      </c>
      <c r="S19" s="7">
        <v>2.0</v>
      </c>
      <c r="X19" s="7">
        <v>3.0</v>
      </c>
      <c r="AA19" s="7">
        <v>1.0</v>
      </c>
    </row>
    <row r="20">
      <c r="A20" s="6">
        <v>45322.0</v>
      </c>
      <c r="B20" s="7" t="s">
        <v>36</v>
      </c>
      <c r="C20" s="7" t="s">
        <v>35</v>
      </c>
      <c r="F20" s="7">
        <v>2.0</v>
      </c>
    </row>
    <row r="21">
      <c r="A21" s="6">
        <v>45322.0</v>
      </c>
      <c r="B21" s="7" t="s">
        <v>40</v>
      </c>
      <c r="C21" s="7" t="s">
        <v>38</v>
      </c>
      <c r="D21" s="7">
        <v>2.0</v>
      </c>
      <c r="I21" s="7">
        <v>3.0</v>
      </c>
      <c r="R21" s="7">
        <v>1.0</v>
      </c>
      <c r="X21" s="7">
        <v>1.0</v>
      </c>
      <c r="AA21" s="7">
        <v>1.0</v>
      </c>
    </row>
    <row r="22">
      <c r="A22" s="6">
        <v>45322.0</v>
      </c>
      <c r="B22" s="7" t="s">
        <v>36</v>
      </c>
      <c r="C22" s="7" t="s">
        <v>38</v>
      </c>
      <c r="D22" s="7">
        <v>4.0</v>
      </c>
      <c r="E22" s="7">
        <v>1.0</v>
      </c>
      <c r="H22" s="7">
        <v>2.0</v>
      </c>
      <c r="I22" s="7">
        <v>1.0</v>
      </c>
      <c r="Q22" s="7">
        <v>1.0</v>
      </c>
      <c r="R22" s="7">
        <v>1.0</v>
      </c>
      <c r="W22" s="7">
        <v>1.0</v>
      </c>
      <c r="X22" s="7">
        <v>2.0</v>
      </c>
      <c r="AA22" s="7">
        <v>2.0</v>
      </c>
      <c r="AB22" s="7">
        <v>2.0</v>
      </c>
    </row>
    <row r="23">
      <c r="A23" s="6">
        <v>45322.0</v>
      </c>
      <c r="B23" s="7" t="s">
        <v>37</v>
      </c>
      <c r="C23" s="7" t="s">
        <v>38</v>
      </c>
      <c r="D23" s="7">
        <v>2.0</v>
      </c>
      <c r="E23" s="7">
        <v>1.0</v>
      </c>
      <c r="Q23" s="7">
        <v>2.0</v>
      </c>
      <c r="R23" s="7">
        <v>1.0</v>
      </c>
    </row>
    <row r="24">
      <c r="A24" s="6">
        <v>45322.0</v>
      </c>
      <c r="B24" s="7" t="s">
        <v>34</v>
      </c>
      <c r="C24" s="7" t="s">
        <v>38</v>
      </c>
      <c r="I24" s="7">
        <v>1.0</v>
      </c>
      <c r="Q24" s="7">
        <v>1.0</v>
      </c>
    </row>
    <row r="25">
      <c r="A25" s="6">
        <v>45322.0</v>
      </c>
      <c r="B25" s="7" t="s">
        <v>39</v>
      </c>
      <c r="C25" s="7" t="s">
        <v>38</v>
      </c>
      <c r="D25" s="7">
        <v>2.0</v>
      </c>
      <c r="I25" s="7">
        <v>1.0</v>
      </c>
    </row>
    <row r="26">
      <c r="A26" s="6">
        <v>45323.0</v>
      </c>
      <c r="B26" s="7" t="s">
        <v>40</v>
      </c>
      <c r="C26" s="7" t="s">
        <v>38</v>
      </c>
      <c r="D26" s="7">
        <v>1.0</v>
      </c>
      <c r="G26" s="7">
        <v>1.0</v>
      </c>
      <c r="N26" s="7">
        <v>1.0</v>
      </c>
      <c r="S26" s="7">
        <v>1.0</v>
      </c>
      <c r="AB26" s="7">
        <v>1.0</v>
      </c>
    </row>
    <row r="27">
      <c r="A27" s="6">
        <v>45323.0</v>
      </c>
      <c r="B27" s="7" t="s">
        <v>36</v>
      </c>
      <c r="C27" s="7" t="s">
        <v>38</v>
      </c>
      <c r="D27" s="7">
        <v>2.0</v>
      </c>
      <c r="I27" s="7">
        <v>3.0</v>
      </c>
      <c r="Q27" s="7">
        <v>1.0</v>
      </c>
    </row>
    <row r="28">
      <c r="A28" s="6">
        <v>45323.0</v>
      </c>
      <c r="B28" s="7" t="s">
        <v>37</v>
      </c>
      <c r="C28" s="7" t="s">
        <v>38</v>
      </c>
      <c r="D28" s="7">
        <v>1.0</v>
      </c>
      <c r="F28" s="7"/>
      <c r="I28" s="7"/>
    </row>
    <row r="29">
      <c r="A29" s="6">
        <v>45323.0</v>
      </c>
      <c r="B29" s="7" t="s">
        <v>34</v>
      </c>
      <c r="C29" s="7" t="s">
        <v>38</v>
      </c>
      <c r="D29" s="7">
        <v>1.0</v>
      </c>
      <c r="F29" s="7">
        <v>1.0</v>
      </c>
      <c r="I29" s="7">
        <v>1.0</v>
      </c>
      <c r="O29" s="7">
        <v>3.0</v>
      </c>
      <c r="X29" s="7">
        <v>1.0</v>
      </c>
      <c r="AA29" s="7">
        <v>1.0</v>
      </c>
    </row>
    <row r="30">
      <c r="A30" s="6">
        <v>45323.0</v>
      </c>
      <c r="B30" s="7" t="s">
        <v>39</v>
      </c>
      <c r="C30" s="7" t="s">
        <v>38</v>
      </c>
      <c r="G30" s="7">
        <v>1.0</v>
      </c>
      <c r="I30" s="7">
        <v>5.0</v>
      </c>
    </row>
    <row r="31">
      <c r="A31" s="6">
        <v>45323.0</v>
      </c>
      <c r="B31" s="7" t="s">
        <v>34</v>
      </c>
      <c r="C31" s="7" t="s">
        <v>35</v>
      </c>
      <c r="O31" s="7">
        <v>2.0</v>
      </c>
    </row>
    <row r="32">
      <c r="A32" s="6">
        <v>45324.0</v>
      </c>
      <c r="B32" s="7" t="s">
        <v>40</v>
      </c>
      <c r="C32" s="7" t="s">
        <v>38</v>
      </c>
      <c r="I32" s="7">
        <v>1.0</v>
      </c>
    </row>
    <row r="33">
      <c r="A33" s="6">
        <v>45324.0</v>
      </c>
      <c r="B33" s="7" t="s">
        <v>36</v>
      </c>
      <c r="C33" s="7" t="s">
        <v>38</v>
      </c>
      <c r="D33" s="7">
        <v>1.0</v>
      </c>
      <c r="I33" s="7">
        <v>2.0</v>
      </c>
      <c r="W33" s="7">
        <v>2.0</v>
      </c>
      <c r="AA33" s="7">
        <v>2.0</v>
      </c>
    </row>
    <row r="34">
      <c r="A34" s="6">
        <v>45324.0</v>
      </c>
      <c r="B34" s="7" t="s">
        <v>37</v>
      </c>
      <c r="C34" s="7" t="s">
        <v>38</v>
      </c>
      <c r="X34" s="7">
        <v>2.0</v>
      </c>
    </row>
    <row r="35">
      <c r="A35" s="6">
        <v>45324.0</v>
      </c>
      <c r="B35" s="7" t="s">
        <v>34</v>
      </c>
      <c r="C35" s="7" t="s">
        <v>38</v>
      </c>
      <c r="D35" s="7">
        <v>2.0</v>
      </c>
      <c r="G35" s="7">
        <v>2.0</v>
      </c>
      <c r="I35" s="7">
        <v>4.0</v>
      </c>
      <c r="Q35" s="7">
        <v>1.0</v>
      </c>
      <c r="X35" s="7">
        <v>2.0</v>
      </c>
      <c r="AA35" s="7">
        <v>1.0</v>
      </c>
    </row>
    <row r="36">
      <c r="A36" s="6">
        <v>45324.0</v>
      </c>
      <c r="B36" s="7" t="s">
        <v>39</v>
      </c>
      <c r="C36" s="7" t="s">
        <v>38</v>
      </c>
      <c r="D36" s="7">
        <v>3.0</v>
      </c>
      <c r="F36" s="7">
        <v>1.0</v>
      </c>
      <c r="G36" s="7">
        <v>2.0</v>
      </c>
      <c r="O36" s="7">
        <v>1.0</v>
      </c>
      <c r="AB36" s="7">
        <v>1.0</v>
      </c>
    </row>
    <row r="37">
      <c r="A37" s="6">
        <v>45325.0</v>
      </c>
      <c r="B37" s="7" t="s">
        <v>34</v>
      </c>
      <c r="C37" s="7" t="s">
        <v>35</v>
      </c>
      <c r="D37" s="7">
        <v>7.0</v>
      </c>
      <c r="O37" s="7">
        <v>3.0</v>
      </c>
      <c r="X37" s="7">
        <v>4.0</v>
      </c>
    </row>
    <row r="38">
      <c r="A38" s="6">
        <v>45325.0</v>
      </c>
      <c r="B38" s="7" t="s">
        <v>36</v>
      </c>
      <c r="C38" s="7" t="s">
        <v>35</v>
      </c>
      <c r="D38" s="7">
        <v>7.0</v>
      </c>
      <c r="F38" s="7">
        <v>1.0</v>
      </c>
      <c r="I38" s="7">
        <v>5.0</v>
      </c>
      <c r="Q38" s="7">
        <v>10.0</v>
      </c>
      <c r="R38" s="7">
        <v>5.0</v>
      </c>
      <c r="W38" s="7">
        <v>8.0</v>
      </c>
      <c r="X38" s="7">
        <v>3.0</v>
      </c>
      <c r="AA38" s="7">
        <v>3.0</v>
      </c>
      <c r="AB38" s="7">
        <v>2.0</v>
      </c>
    </row>
    <row r="39">
      <c r="A39" s="6">
        <v>45325.0</v>
      </c>
      <c r="B39" s="7" t="s">
        <v>40</v>
      </c>
      <c r="C39" s="7" t="s">
        <v>38</v>
      </c>
      <c r="D39" s="7">
        <v>3.0</v>
      </c>
      <c r="Q39" s="7">
        <v>2.0</v>
      </c>
      <c r="S39" s="7">
        <v>1.0</v>
      </c>
      <c r="AA39" s="7">
        <v>2.0</v>
      </c>
    </row>
    <row r="40">
      <c r="A40" s="6">
        <v>45325.0</v>
      </c>
      <c r="B40" s="7" t="s">
        <v>36</v>
      </c>
      <c r="C40" s="7" t="s">
        <v>38</v>
      </c>
      <c r="D40" s="7">
        <v>1.0</v>
      </c>
      <c r="I40" s="7">
        <v>2.0</v>
      </c>
      <c r="Q40" s="7">
        <v>4.0</v>
      </c>
      <c r="W40" s="7">
        <v>1.0</v>
      </c>
    </row>
    <row r="41">
      <c r="A41" s="6">
        <v>45325.0</v>
      </c>
      <c r="B41" s="7" t="s">
        <v>37</v>
      </c>
      <c r="C41" s="7" t="s">
        <v>38</v>
      </c>
      <c r="E41" s="7">
        <v>1.0</v>
      </c>
    </row>
    <row r="42">
      <c r="A42" s="6">
        <v>45325.0</v>
      </c>
      <c r="B42" s="7" t="s">
        <v>34</v>
      </c>
      <c r="C42" s="7" t="s">
        <v>38</v>
      </c>
      <c r="D42" s="7">
        <v>6.0</v>
      </c>
      <c r="E42" s="7">
        <v>1.0</v>
      </c>
      <c r="Q42" s="7">
        <v>1.0</v>
      </c>
      <c r="AA42" s="7">
        <v>1.0</v>
      </c>
      <c r="AB42" s="7">
        <v>1.0</v>
      </c>
    </row>
    <row r="43">
      <c r="A43" s="6">
        <v>45325.0</v>
      </c>
      <c r="B43" s="7" t="s">
        <v>39</v>
      </c>
      <c r="C43" s="7" t="s">
        <v>38</v>
      </c>
      <c r="D43" s="7">
        <v>4.0</v>
      </c>
      <c r="E43" s="7">
        <v>4.0</v>
      </c>
      <c r="I43" s="7">
        <v>3.0</v>
      </c>
      <c r="Q43" s="7">
        <v>1.0</v>
      </c>
      <c r="X43" s="7">
        <v>2.0</v>
      </c>
    </row>
    <row r="44">
      <c r="A44" s="8">
        <v>45327.0</v>
      </c>
      <c r="B44" s="7" t="s">
        <v>34</v>
      </c>
      <c r="C44" s="7" t="s">
        <v>35</v>
      </c>
      <c r="D44" s="7">
        <v>4.0</v>
      </c>
    </row>
    <row r="45">
      <c r="A45" s="8">
        <v>45327.0</v>
      </c>
      <c r="B45" s="7" t="s">
        <v>40</v>
      </c>
      <c r="C45" s="7" t="s">
        <v>38</v>
      </c>
      <c r="I45" s="7">
        <v>1.0</v>
      </c>
    </row>
    <row r="46">
      <c r="A46" s="8">
        <v>45327.0</v>
      </c>
      <c r="B46" s="7" t="s">
        <v>36</v>
      </c>
      <c r="C46" s="7" t="s">
        <v>38</v>
      </c>
    </row>
    <row r="47">
      <c r="A47" s="8">
        <v>45327.0</v>
      </c>
      <c r="B47" s="7" t="s">
        <v>37</v>
      </c>
      <c r="C47" s="7" t="s">
        <v>38</v>
      </c>
    </row>
    <row r="48">
      <c r="A48" s="8">
        <v>45327.0</v>
      </c>
      <c r="B48" s="7" t="s">
        <v>34</v>
      </c>
      <c r="C48" s="7" t="s">
        <v>38</v>
      </c>
      <c r="D48" s="7">
        <v>2.0</v>
      </c>
      <c r="E48" s="7">
        <v>3.0</v>
      </c>
      <c r="F48" s="7">
        <v>1.0</v>
      </c>
      <c r="G48" s="7">
        <v>1.0</v>
      </c>
      <c r="I48" s="7">
        <v>5.0</v>
      </c>
      <c r="O48" s="7">
        <v>1.0</v>
      </c>
      <c r="Q48" s="7">
        <v>1.0</v>
      </c>
      <c r="R48" s="7">
        <v>1.0</v>
      </c>
      <c r="W48" s="7">
        <v>1.0</v>
      </c>
    </row>
    <row r="49">
      <c r="A49" s="8">
        <v>45327.0</v>
      </c>
      <c r="B49" s="7" t="s">
        <v>39</v>
      </c>
      <c r="C49" s="7" t="s">
        <v>38</v>
      </c>
      <c r="H49" s="7">
        <v>2.0</v>
      </c>
      <c r="AA49" s="7">
        <v>2.0</v>
      </c>
      <c r="AC49" s="7">
        <v>1.0</v>
      </c>
    </row>
    <row r="50">
      <c r="A50" s="6">
        <v>45328.0</v>
      </c>
      <c r="B50" s="7" t="s">
        <v>40</v>
      </c>
      <c r="C50" s="7" t="s">
        <v>38</v>
      </c>
      <c r="D50" s="7">
        <v>1.0</v>
      </c>
      <c r="I50" s="7">
        <v>1.0</v>
      </c>
    </row>
    <row r="51">
      <c r="A51" s="6">
        <v>45328.0</v>
      </c>
      <c r="B51" s="7" t="s">
        <v>36</v>
      </c>
      <c r="C51" s="7" t="s">
        <v>38</v>
      </c>
      <c r="D51" s="7">
        <v>5.0</v>
      </c>
      <c r="E51" s="7">
        <v>2.0</v>
      </c>
      <c r="I51" s="7">
        <v>1.0</v>
      </c>
    </row>
    <row r="52">
      <c r="A52" s="6">
        <v>45328.0</v>
      </c>
      <c r="B52" s="7" t="s">
        <v>34</v>
      </c>
      <c r="C52" s="7" t="s">
        <v>38</v>
      </c>
      <c r="D52" s="7">
        <v>1.0</v>
      </c>
      <c r="I52" s="7">
        <v>5.0</v>
      </c>
      <c r="O52" s="7">
        <v>1.0</v>
      </c>
      <c r="Q52" s="7">
        <v>1.0</v>
      </c>
      <c r="R52" s="7">
        <v>2.0</v>
      </c>
      <c r="AB52" s="7">
        <v>1.0</v>
      </c>
      <c r="AC52" s="7">
        <v>1.0</v>
      </c>
    </row>
    <row r="53">
      <c r="A53" s="6">
        <v>45328.0</v>
      </c>
      <c r="B53" s="7" t="s">
        <v>39</v>
      </c>
      <c r="C53" s="7" t="s">
        <v>38</v>
      </c>
      <c r="D53" s="7">
        <v>1.0</v>
      </c>
      <c r="F53" s="7">
        <v>1.0</v>
      </c>
      <c r="I53" s="7">
        <v>2.0</v>
      </c>
      <c r="Q53" s="7">
        <v>2.0</v>
      </c>
    </row>
    <row r="54">
      <c r="A54" s="6">
        <v>45329.0</v>
      </c>
      <c r="B54" s="7" t="s">
        <v>40</v>
      </c>
      <c r="C54" s="7" t="s">
        <v>38</v>
      </c>
      <c r="D54" s="7">
        <v>2.0</v>
      </c>
      <c r="O54" s="7">
        <v>1.0</v>
      </c>
      <c r="Q54" s="7">
        <v>1.0</v>
      </c>
      <c r="X54" s="7">
        <v>2.0</v>
      </c>
      <c r="AC54" s="7">
        <v>1.0</v>
      </c>
    </row>
    <row r="55">
      <c r="A55" s="6">
        <v>45329.0</v>
      </c>
      <c r="B55" s="7" t="s">
        <v>36</v>
      </c>
      <c r="C55" s="7" t="s">
        <v>38</v>
      </c>
      <c r="D55" s="7">
        <v>4.0</v>
      </c>
      <c r="E55" s="7">
        <v>2.0</v>
      </c>
      <c r="G55" s="7">
        <v>2.0</v>
      </c>
      <c r="I55" s="7">
        <v>3.0</v>
      </c>
      <c r="O55" s="7">
        <v>4.0</v>
      </c>
      <c r="Q55" s="7">
        <v>1.0</v>
      </c>
      <c r="X55" s="7">
        <v>3.0</v>
      </c>
      <c r="AA55" s="7">
        <v>4.0</v>
      </c>
    </row>
    <row r="56">
      <c r="A56" s="6">
        <v>45329.0</v>
      </c>
      <c r="B56" s="7" t="s">
        <v>37</v>
      </c>
      <c r="C56" s="7" t="s">
        <v>38</v>
      </c>
      <c r="E56" s="7">
        <v>1.0</v>
      </c>
      <c r="H56" s="7">
        <v>1.0</v>
      </c>
      <c r="I56" s="7">
        <v>1.0</v>
      </c>
    </row>
    <row r="57">
      <c r="A57" s="6">
        <v>45329.0</v>
      </c>
      <c r="B57" s="7" t="s">
        <v>34</v>
      </c>
      <c r="C57" s="7" t="s">
        <v>38</v>
      </c>
      <c r="I57" s="7">
        <v>2.0</v>
      </c>
      <c r="Q57" s="7">
        <v>3.0</v>
      </c>
    </row>
    <row r="58">
      <c r="A58" s="6">
        <v>45329.0</v>
      </c>
      <c r="B58" s="7" t="s">
        <v>39</v>
      </c>
      <c r="C58" s="7" t="s">
        <v>38</v>
      </c>
      <c r="I58" s="7">
        <v>1.0</v>
      </c>
      <c r="O58" s="7">
        <v>1.0</v>
      </c>
      <c r="AA58" s="7">
        <v>2.0</v>
      </c>
      <c r="AB58" s="7">
        <v>4.0</v>
      </c>
    </row>
    <row r="59">
      <c r="A59" s="6">
        <v>45329.0</v>
      </c>
      <c r="B59" s="7" t="s">
        <v>36</v>
      </c>
      <c r="C59" s="7" t="s">
        <v>35</v>
      </c>
      <c r="O59" s="7">
        <v>7.0</v>
      </c>
    </row>
    <row r="60">
      <c r="A60" s="6">
        <v>45330.0</v>
      </c>
      <c r="B60" s="7" t="s">
        <v>34</v>
      </c>
      <c r="C60" s="7" t="s">
        <v>35</v>
      </c>
      <c r="O60" s="7">
        <v>4.0</v>
      </c>
      <c r="AA60" s="7">
        <v>3.0</v>
      </c>
    </row>
    <row r="61">
      <c r="A61" s="6">
        <v>45330.0</v>
      </c>
      <c r="B61" s="7" t="s">
        <v>37</v>
      </c>
      <c r="C61" s="7" t="s">
        <v>35</v>
      </c>
      <c r="AH61" s="7">
        <v>3.0</v>
      </c>
    </row>
    <row r="62">
      <c r="A62" s="6">
        <v>45330.0</v>
      </c>
      <c r="B62" s="7" t="s">
        <v>40</v>
      </c>
      <c r="C62" s="7" t="s">
        <v>38</v>
      </c>
      <c r="D62" s="7">
        <v>1.0</v>
      </c>
      <c r="I62" s="7">
        <v>2.0</v>
      </c>
      <c r="W62" s="7">
        <v>1.0</v>
      </c>
    </row>
    <row r="63">
      <c r="A63" s="6">
        <v>45330.0</v>
      </c>
      <c r="B63" s="7" t="s">
        <v>36</v>
      </c>
      <c r="C63" s="7" t="s">
        <v>38</v>
      </c>
      <c r="I63" s="7">
        <v>2.0</v>
      </c>
      <c r="O63" s="7">
        <v>2.0</v>
      </c>
      <c r="Q63" s="7">
        <v>2.0</v>
      </c>
    </row>
    <row r="64">
      <c r="A64" s="6">
        <v>45330.0</v>
      </c>
      <c r="B64" s="7" t="s">
        <v>37</v>
      </c>
      <c r="C64" s="7" t="s">
        <v>38</v>
      </c>
      <c r="S64" s="7">
        <v>1.0</v>
      </c>
      <c r="AA64" s="7">
        <v>1.0</v>
      </c>
      <c r="AH64" s="7">
        <v>3.0</v>
      </c>
    </row>
    <row r="65">
      <c r="A65" s="6">
        <v>45330.0</v>
      </c>
      <c r="B65" s="7" t="s">
        <v>34</v>
      </c>
      <c r="C65" s="7" t="s">
        <v>38</v>
      </c>
      <c r="N65" s="7">
        <v>1.0</v>
      </c>
      <c r="O65" s="7">
        <v>2.0</v>
      </c>
      <c r="Q65" s="7">
        <v>1.0</v>
      </c>
      <c r="AA65" s="7">
        <v>1.0</v>
      </c>
    </row>
    <row r="66">
      <c r="A66" s="6">
        <v>45330.0</v>
      </c>
      <c r="B66" s="7" t="s">
        <v>39</v>
      </c>
      <c r="C66" s="7" t="s">
        <v>38</v>
      </c>
      <c r="G66" s="7">
        <v>3.0</v>
      </c>
      <c r="AB66" s="7">
        <v>2.0</v>
      </c>
    </row>
    <row r="67">
      <c r="A67" s="6">
        <v>45330.0</v>
      </c>
      <c r="B67" s="7" t="s">
        <v>39</v>
      </c>
      <c r="C67" s="7" t="s">
        <v>35</v>
      </c>
      <c r="G67" s="7">
        <v>3.0</v>
      </c>
      <c r="AB67" s="7">
        <v>4.0</v>
      </c>
    </row>
    <row r="68">
      <c r="A68" s="6">
        <v>45331.0</v>
      </c>
      <c r="B68" s="7" t="s">
        <v>40</v>
      </c>
      <c r="C68" s="7" t="s">
        <v>38</v>
      </c>
      <c r="E68" s="7">
        <v>1.0</v>
      </c>
      <c r="I68" s="7">
        <v>1.0</v>
      </c>
      <c r="R68" s="7">
        <v>1.0</v>
      </c>
      <c r="X68" s="7">
        <v>1.0</v>
      </c>
    </row>
    <row r="69">
      <c r="A69" s="6">
        <v>45331.0</v>
      </c>
      <c r="B69" s="7" t="s">
        <v>36</v>
      </c>
      <c r="C69" s="7" t="s">
        <v>38</v>
      </c>
      <c r="F69" s="7">
        <v>2.0</v>
      </c>
      <c r="G69" s="7">
        <v>1.0</v>
      </c>
      <c r="I69" s="7">
        <v>4.0</v>
      </c>
      <c r="O69" s="7">
        <v>1.0</v>
      </c>
      <c r="Q69" s="7">
        <v>7.0</v>
      </c>
    </row>
    <row r="70">
      <c r="A70" s="6">
        <v>45331.0</v>
      </c>
      <c r="B70" s="7" t="s">
        <v>37</v>
      </c>
      <c r="C70" s="7" t="s">
        <v>38</v>
      </c>
      <c r="D70" s="7">
        <v>2.0</v>
      </c>
      <c r="I70" s="7">
        <v>1.0</v>
      </c>
      <c r="Q70" s="7">
        <v>2.0</v>
      </c>
      <c r="S70" s="7">
        <v>1.0</v>
      </c>
    </row>
    <row r="71">
      <c r="A71" s="6">
        <v>45331.0</v>
      </c>
      <c r="B71" s="7" t="s">
        <v>34</v>
      </c>
      <c r="C71" s="7" t="s">
        <v>38</v>
      </c>
      <c r="D71" s="7">
        <v>4.0</v>
      </c>
      <c r="G71" s="7">
        <v>1.0</v>
      </c>
      <c r="H71" s="7">
        <v>2.0</v>
      </c>
      <c r="I71" s="7">
        <v>6.0</v>
      </c>
      <c r="O71" s="7">
        <v>4.0</v>
      </c>
      <c r="Q71" s="7">
        <v>4.0</v>
      </c>
      <c r="W71" s="7">
        <v>1.0</v>
      </c>
      <c r="X71" s="7">
        <v>1.0</v>
      </c>
      <c r="AA71" s="7">
        <v>1.0</v>
      </c>
    </row>
    <row r="72">
      <c r="A72" s="6">
        <v>45331.0</v>
      </c>
      <c r="B72" s="7" t="s">
        <v>39</v>
      </c>
      <c r="C72" s="7" t="s">
        <v>38</v>
      </c>
      <c r="I72" s="7">
        <v>6.0</v>
      </c>
      <c r="N72" s="7">
        <v>1.0</v>
      </c>
      <c r="Q72" s="7">
        <v>5.0</v>
      </c>
      <c r="R72" s="7">
        <v>2.0</v>
      </c>
      <c r="AA72" s="7">
        <v>1.0</v>
      </c>
      <c r="AB72" s="7">
        <v>1.0</v>
      </c>
    </row>
    <row r="73">
      <c r="A73" s="6"/>
      <c r="B73" s="9"/>
      <c r="C73" s="9"/>
    </row>
    <row r="74">
      <c r="A74" s="6"/>
      <c r="B74" s="9"/>
      <c r="C74" s="9"/>
    </row>
    <row r="75">
      <c r="A75" s="6"/>
      <c r="B75" s="9"/>
      <c r="C75" s="9"/>
    </row>
    <row r="76">
      <c r="A76" s="6"/>
      <c r="B76" s="9"/>
      <c r="C76" s="9"/>
    </row>
    <row r="77">
      <c r="A77" s="6"/>
      <c r="B77" s="9"/>
      <c r="C77" s="9"/>
    </row>
    <row r="78">
      <c r="A78" s="6"/>
      <c r="B78" s="9"/>
      <c r="C78" s="9"/>
    </row>
    <row r="79">
      <c r="A79" s="6"/>
      <c r="B79" s="9"/>
      <c r="C79" s="9"/>
    </row>
    <row r="80">
      <c r="A80" s="6"/>
      <c r="B80" s="9"/>
      <c r="C80" s="9"/>
    </row>
    <row r="81">
      <c r="A81" s="6"/>
      <c r="B81" s="9"/>
      <c r="C81" s="9"/>
    </row>
    <row r="82">
      <c r="A82" s="6"/>
      <c r="B82" s="9"/>
      <c r="C82" s="9"/>
    </row>
    <row r="83">
      <c r="A83" s="6"/>
      <c r="B83" s="9"/>
      <c r="C83" s="9"/>
    </row>
    <row r="84">
      <c r="A84" s="6"/>
      <c r="B84" s="9"/>
      <c r="C84" s="9"/>
    </row>
    <row r="85">
      <c r="A85" s="6"/>
      <c r="B85" s="9"/>
      <c r="C85" s="9"/>
    </row>
    <row r="86">
      <c r="A86" s="6"/>
      <c r="B86" s="9"/>
      <c r="C86" s="9"/>
    </row>
    <row r="87">
      <c r="A87" s="6"/>
      <c r="B87" s="9"/>
      <c r="C87" s="9"/>
    </row>
    <row r="88">
      <c r="A88" s="6"/>
      <c r="B88" s="9"/>
      <c r="C88" s="9"/>
    </row>
    <row r="89">
      <c r="A89" s="6"/>
      <c r="B89" s="9"/>
      <c r="C89" s="9"/>
    </row>
    <row r="90">
      <c r="A90" s="6"/>
      <c r="B90" s="9"/>
      <c r="C90" s="9"/>
    </row>
    <row r="91">
      <c r="A91" s="6"/>
      <c r="B91" s="9"/>
      <c r="C91" s="9"/>
    </row>
    <row r="92">
      <c r="A92" s="6"/>
      <c r="B92" s="9"/>
      <c r="C92" s="9"/>
    </row>
    <row r="93">
      <c r="A93" s="6"/>
      <c r="B93" s="9"/>
      <c r="C93" s="9"/>
    </row>
    <row r="94">
      <c r="A94" s="6"/>
      <c r="B94" s="9"/>
      <c r="C94" s="9"/>
    </row>
    <row r="95">
      <c r="A95" s="6"/>
      <c r="B95" s="9"/>
      <c r="C95" s="9"/>
    </row>
    <row r="96">
      <c r="A96" s="6"/>
      <c r="B96" s="9"/>
      <c r="C96" s="9"/>
    </row>
    <row r="97">
      <c r="A97" s="6"/>
      <c r="B97" s="9"/>
      <c r="C97" s="9"/>
    </row>
    <row r="98">
      <c r="A98" s="6"/>
      <c r="B98" s="9"/>
      <c r="C98" s="9"/>
    </row>
    <row r="99">
      <c r="A99" s="6"/>
      <c r="B99" s="9"/>
      <c r="C99" s="9"/>
    </row>
    <row r="100">
      <c r="A100" s="6"/>
      <c r="B100" s="9"/>
      <c r="C100" s="9"/>
    </row>
    <row r="101">
      <c r="A101" s="6"/>
      <c r="B101" s="9"/>
      <c r="C101" s="9"/>
    </row>
    <row r="102">
      <c r="A102" s="6"/>
      <c r="B102" s="9"/>
      <c r="C102" s="9"/>
    </row>
    <row r="103">
      <c r="A103" s="6"/>
      <c r="B103" s="9"/>
      <c r="C103" s="9"/>
    </row>
    <row r="104">
      <c r="A104" s="6"/>
      <c r="B104" s="9"/>
      <c r="C104" s="9"/>
    </row>
    <row r="105">
      <c r="A105" s="6"/>
      <c r="B105" s="9"/>
      <c r="C105" s="9"/>
    </row>
    <row r="106">
      <c r="A106" s="6"/>
      <c r="B106" s="9"/>
      <c r="C106" s="9"/>
    </row>
    <row r="107">
      <c r="A107" s="6"/>
      <c r="B107" s="9"/>
      <c r="C107" s="9"/>
    </row>
    <row r="108">
      <c r="A108" s="6"/>
      <c r="B108" s="9"/>
      <c r="C108" s="9"/>
    </row>
    <row r="109">
      <c r="A109" s="6"/>
      <c r="B109" s="9"/>
      <c r="C109" s="9"/>
    </row>
    <row r="110">
      <c r="A110" s="6"/>
      <c r="B110" s="9"/>
      <c r="C110" s="9"/>
    </row>
    <row r="111">
      <c r="A111" s="6"/>
      <c r="B111" s="10"/>
      <c r="C111" s="9"/>
      <c r="D111" s="10"/>
      <c r="E111" s="10"/>
      <c r="F111" s="11"/>
      <c r="G111" s="10"/>
      <c r="H111" s="11"/>
      <c r="I111" s="12"/>
      <c r="J111" s="11"/>
      <c r="K111" s="11"/>
      <c r="L111" s="11"/>
      <c r="M111" s="11"/>
      <c r="N111" s="11"/>
      <c r="O111" s="11"/>
      <c r="P111" s="10"/>
      <c r="Q111" s="10"/>
      <c r="R111" s="10"/>
      <c r="S111" s="11"/>
      <c r="T111" s="11"/>
      <c r="U111" s="11"/>
      <c r="V111" s="11"/>
      <c r="W111" s="12"/>
      <c r="X111" s="11"/>
      <c r="Y111" s="11"/>
      <c r="Z111" s="11"/>
      <c r="AA111" s="11"/>
      <c r="AB111" s="10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>
      <c r="A112" s="6"/>
      <c r="B112" s="11"/>
      <c r="C112" s="9"/>
      <c r="D112" s="11"/>
      <c r="E112" s="11"/>
      <c r="F112" s="11"/>
      <c r="G112" s="11"/>
      <c r="H112" s="11"/>
      <c r="I112" s="12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>
      <c r="A113" s="6"/>
      <c r="B113" s="11"/>
      <c r="C113" s="9"/>
      <c r="D113" s="10"/>
      <c r="E113" s="10"/>
      <c r="F113" s="11"/>
      <c r="G113" s="10"/>
      <c r="H113" s="11"/>
      <c r="I113" s="12"/>
      <c r="J113" s="11"/>
      <c r="K113" s="11"/>
      <c r="L113" s="11"/>
      <c r="M113" s="11"/>
      <c r="N113" s="11"/>
      <c r="O113" s="11"/>
      <c r="P113" s="10"/>
      <c r="Q113" s="10"/>
      <c r="R113" s="10"/>
      <c r="S113" s="11"/>
      <c r="T113" s="11"/>
      <c r="U113" s="11"/>
      <c r="V113" s="11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>
      <c r="A114" s="6"/>
      <c r="B114" s="11"/>
      <c r="C114" s="9"/>
      <c r="D114" s="10"/>
      <c r="E114" s="10"/>
      <c r="F114" s="11"/>
      <c r="G114" s="10"/>
      <c r="H114" s="11"/>
      <c r="I114" s="13"/>
      <c r="J114" s="11"/>
      <c r="K114" s="11"/>
      <c r="L114" s="11"/>
      <c r="M114" s="11"/>
      <c r="N114" s="11"/>
      <c r="O114" s="11"/>
      <c r="P114" s="11"/>
      <c r="Q114" s="10"/>
      <c r="R114" s="10"/>
      <c r="S114" s="11"/>
      <c r="T114" s="11"/>
      <c r="U114" s="11"/>
      <c r="V114" s="11"/>
      <c r="W114" s="13"/>
      <c r="X114" s="10"/>
      <c r="Y114" s="11"/>
      <c r="Z114" s="11"/>
      <c r="AA114" s="11"/>
      <c r="AB114" s="10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>
      <c r="A115" s="6"/>
      <c r="B115" s="11"/>
      <c r="C115" s="9"/>
      <c r="D115" s="11"/>
      <c r="E115" s="11"/>
      <c r="F115" s="11"/>
      <c r="G115" s="11"/>
      <c r="H115" s="11"/>
      <c r="I115" s="12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/>
      <c r="X115" s="12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>
      <c r="A116" s="6"/>
      <c r="B116" s="11"/>
      <c r="C116" s="9"/>
      <c r="D116" s="11"/>
      <c r="E116" s="11"/>
      <c r="F116" s="11"/>
      <c r="G116" s="11"/>
      <c r="H116" s="11"/>
      <c r="I116" s="12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/>
      <c r="X116" s="12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>
      <c r="A117" s="6"/>
      <c r="B117" s="11"/>
      <c r="C117" s="9"/>
    </row>
    <row r="118">
      <c r="A118" s="6"/>
      <c r="B118" s="11"/>
      <c r="C118" s="9"/>
    </row>
    <row r="119">
      <c r="A119" s="6"/>
      <c r="B119" s="11"/>
      <c r="C119" s="9"/>
    </row>
    <row r="120">
      <c r="A120" s="6"/>
      <c r="B120" s="11"/>
      <c r="C120" s="9"/>
    </row>
    <row r="121">
      <c r="A121" s="6"/>
      <c r="B121" s="11"/>
      <c r="C121" s="9"/>
      <c r="D121" s="13"/>
      <c r="E121" s="12"/>
      <c r="F121" s="12"/>
      <c r="G121" s="13"/>
      <c r="H121" s="12"/>
      <c r="I121" s="11"/>
      <c r="J121" s="11"/>
      <c r="K121" s="11"/>
      <c r="L121" s="11"/>
      <c r="M121" s="11"/>
      <c r="N121" s="11"/>
      <c r="O121" s="12"/>
      <c r="P121" s="12"/>
      <c r="Q121" s="12"/>
      <c r="R121" s="12"/>
      <c r="S121" s="11"/>
      <c r="T121" s="11"/>
      <c r="U121" s="11"/>
      <c r="V121" s="11"/>
      <c r="W121" s="11"/>
      <c r="X121" s="11"/>
      <c r="Y121" s="11"/>
      <c r="Z121" s="11"/>
      <c r="AA121" s="12"/>
      <c r="AB121" s="12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>
      <c r="A122" s="6"/>
      <c r="B122" s="11"/>
      <c r="C122" s="9"/>
      <c r="D122" s="12"/>
      <c r="E122" s="12"/>
      <c r="F122" s="12"/>
      <c r="G122" s="12"/>
      <c r="H122" s="12"/>
      <c r="I122" s="11"/>
      <c r="J122" s="11"/>
      <c r="K122" s="11"/>
      <c r="L122" s="11"/>
      <c r="M122" s="11"/>
      <c r="N122" s="12"/>
      <c r="O122" s="12"/>
      <c r="P122" s="12"/>
      <c r="Q122" s="12"/>
      <c r="R122" s="12"/>
      <c r="S122" s="12"/>
      <c r="T122" s="11"/>
      <c r="U122" s="11"/>
      <c r="V122" s="11"/>
      <c r="W122" s="11"/>
      <c r="X122" s="11"/>
      <c r="Y122" s="11"/>
      <c r="Z122" s="11"/>
      <c r="AA122" s="12"/>
      <c r="AB122" s="12"/>
      <c r="AC122" s="12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>
      <c r="A123" s="6"/>
      <c r="B123" s="11"/>
      <c r="C123" s="9"/>
      <c r="D123" s="12"/>
      <c r="E123" s="12"/>
      <c r="F123" s="12"/>
      <c r="G123" s="12"/>
      <c r="H123" s="12"/>
      <c r="I123" s="11"/>
      <c r="J123" s="11"/>
      <c r="K123" s="11"/>
      <c r="L123" s="11"/>
      <c r="M123" s="11"/>
      <c r="N123" s="12"/>
      <c r="O123" s="12"/>
      <c r="P123" s="12"/>
      <c r="Q123" s="12"/>
      <c r="R123" s="12"/>
      <c r="S123" s="12"/>
      <c r="T123" s="11"/>
      <c r="U123" s="11"/>
      <c r="V123" s="11"/>
      <c r="W123" s="11"/>
      <c r="X123" s="11"/>
      <c r="Y123" s="11"/>
      <c r="Z123" s="11"/>
      <c r="AA123" s="12"/>
      <c r="AB123" s="12"/>
      <c r="AC123" s="12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>
      <c r="A124" s="6"/>
      <c r="B124" s="11"/>
      <c r="C124" s="9"/>
      <c r="D124" s="12"/>
      <c r="E124" s="12"/>
      <c r="F124" s="12"/>
      <c r="G124" s="12"/>
      <c r="H124" s="12"/>
      <c r="I124" s="11"/>
      <c r="J124" s="11"/>
      <c r="K124" s="11"/>
      <c r="L124" s="11"/>
      <c r="M124" s="11"/>
      <c r="N124" s="11"/>
      <c r="O124" s="12"/>
      <c r="P124" s="12"/>
      <c r="Q124" s="12"/>
      <c r="R124" s="12"/>
      <c r="S124" s="12"/>
      <c r="T124" s="11"/>
      <c r="U124" s="11"/>
      <c r="V124" s="11"/>
      <c r="W124" s="11"/>
      <c r="X124" s="11"/>
      <c r="Y124" s="11"/>
      <c r="Z124" s="11"/>
      <c r="AA124" s="12"/>
      <c r="AB124" s="12"/>
      <c r="AC124" s="12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>
      <c r="A125" s="6"/>
      <c r="B125" s="11"/>
      <c r="C125" s="9"/>
      <c r="D125" s="12"/>
      <c r="E125" s="12"/>
      <c r="F125" s="12"/>
      <c r="G125" s="12"/>
      <c r="H125" s="12"/>
      <c r="I125" s="11"/>
      <c r="J125" s="11"/>
      <c r="K125" s="11"/>
      <c r="L125" s="11"/>
      <c r="M125" s="11"/>
      <c r="N125" s="11"/>
      <c r="O125" s="12"/>
      <c r="P125" s="11"/>
      <c r="Q125" s="12"/>
      <c r="R125" s="12"/>
      <c r="S125" s="12"/>
      <c r="T125" s="11"/>
      <c r="U125" s="11"/>
      <c r="V125" s="11"/>
      <c r="W125" s="11"/>
      <c r="X125" s="11"/>
      <c r="Y125" s="11"/>
      <c r="Z125" s="11"/>
      <c r="AA125" s="12"/>
      <c r="AB125" s="12"/>
      <c r="AC125" s="12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>
      <c r="A126" s="6"/>
      <c r="B126" s="11"/>
      <c r="C126" s="9"/>
    </row>
    <row r="127">
      <c r="A127" s="6"/>
      <c r="B127" s="11"/>
      <c r="C127" s="9"/>
    </row>
    <row r="128">
      <c r="A128" s="6"/>
      <c r="B128" s="11"/>
      <c r="C128" s="9"/>
    </row>
    <row r="129">
      <c r="A129" s="6"/>
      <c r="B129" s="11"/>
      <c r="C129" s="9"/>
    </row>
    <row r="130">
      <c r="A130" s="6"/>
      <c r="B130" s="11"/>
      <c r="C130" s="9"/>
    </row>
    <row r="131">
      <c r="A131" s="6"/>
      <c r="B131" s="11"/>
      <c r="C131" s="9"/>
      <c r="D131" s="12"/>
      <c r="E131" s="12"/>
      <c r="F131" s="12"/>
      <c r="G131" s="12"/>
      <c r="H131" s="11"/>
      <c r="I131" s="11"/>
      <c r="J131" s="11"/>
      <c r="K131" s="11"/>
      <c r="L131" s="11"/>
      <c r="M131" s="11"/>
      <c r="N131" s="11"/>
      <c r="O131" s="12"/>
      <c r="P131" s="12"/>
      <c r="Q131" s="12"/>
      <c r="R131" s="12"/>
      <c r="S131" s="12"/>
      <c r="T131" s="11"/>
      <c r="U131" s="11"/>
      <c r="V131" s="11"/>
      <c r="W131" s="11"/>
      <c r="X131" s="11"/>
      <c r="Y131" s="11"/>
      <c r="Z131" s="11"/>
      <c r="AA131" s="12"/>
      <c r="AB131" s="12"/>
      <c r="AC131" s="11"/>
      <c r="AD131" s="11"/>
      <c r="AE131" s="11"/>
      <c r="AF131" s="11"/>
      <c r="AG131" s="11"/>
    </row>
    <row r="132">
      <c r="A132" s="6"/>
      <c r="B132" s="11"/>
      <c r="C132" s="9"/>
      <c r="D132" s="12"/>
      <c r="E132" s="12"/>
      <c r="F132" s="12"/>
      <c r="G132" s="12"/>
      <c r="H132" s="11"/>
      <c r="I132" s="11"/>
      <c r="J132" s="11"/>
      <c r="K132" s="11"/>
      <c r="L132" s="11"/>
      <c r="M132" s="11"/>
      <c r="N132" s="12"/>
      <c r="O132" s="12"/>
      <c r="P132" s="12"/>
      <c r="Q132" s="12"/>
      <c r="R132" s="12"/>
      <c r="S132" s="12"/>
      <c r="T132" s="11"/>
      <c r="U132" s="11"/>
      <c r="V132" s="11"/>
      <c r="W132" s="11"/>
      <c r="X132" s="11"/>
      <c r="Y132" s="11"/>
      <c r="Z132" s="11"/>
      <c r="AA132" s="12"/>
      <c r="AB132" s="12"/>
      <c r="AC132" s="11"/>
      <c r="AD132" s="11"/>
      <c r="AE132" s="11"/>
      <c r="AF132" s="11"/>
      <c r="AG132" s="11"/>
    </row>
    <row r="133">
      <c r="A133" s="6"/>
      <c r="B133" s="11"/>
      <c r="C133" s="9"/>
      <c r="D133" s="12"/>
      <c r="E133" s="12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2"/>
      <c r="R133" s="12"/>
      <c r="S133" s="12"/>
      <c r="T133" s="11"/>
      <c r="U133" s="11"/>
      <c r="V133" s="11"/>
      <c r="W133" s="11"/>
      <c r="X133" s="11"/>
      <c r="Y133" s="11"/>
      <c r="Z133" s="11"/>
      <c r="AA133" s="12"/>
      <c r="AB133" s="12"/>
      <c r="AC133" s="11"/>
      <c r="AD133" s="11"/>
      <c r="AE133" s="11"/>
      <c r="AF133" s="11"/>
      <c r="AG133" s="11"/>
    </row>
    <row r="134">
      <c r="A134" s="6"/>
      <c r="B134" s="11"/>
      <c r="C134" s="9"/>
      <c r="D134" s="12"/>
      <c r="E134" s="12"/>
      <c r="F134" s="11"/>
      <c r="G134" s="12"/>
      <c r="H134" s="11"/>
      <c r="I134" s="11"/>
      <c r="J134" s="11"/>
      <c r="K134" s="11"/>
      <c r="L134" s="11"/>
      <c r="M134" s="11"/>
      <c r="N134" s="11"/>
      <c r="O134" s="12"/>
      <c r="P134" s="11"/>
      <c r="Q134" s="12"/>
      <c r="R134" s="12"/>
      <c r="S134" s="12"/>
      <c r="T134" s="11"/>
      <c r="U134" s="11"/>
      <c r="V134" s="11"/>
      <c r="W134" s="11"/>
      <c r="X134" s="11"/>
      <c r="Y134" s="11"/>
      <c r="Z134" s="11"/>
      <c r="AA134" s="12"/>
      <c r="AB134" s="12"/>
      <c r="AC134" s="11"/>
      <c r="AD134" s="11"/>
      <c r="AE134" s="11"/>
      <c r="AF134" s="11"/>
      <c r="AG134" s="11"/>
    </row>
    <row r="135">
      <c r="A135" s="6"/>
      <c r="B135" s="11"/>
      <c r="C135" s="9"/>
      <c r="D135" s="10"/>
      <c r="E135" s="11"/>
      <c r="F135" s="11"/>
      <c r="G135" s="11"/>
      <c r="H135" s="10"/>
      <c r="I135" s="12"/>
      <c r="J135" s="11"/>
      <c r="K135" s="11"/>
      <c r="L135" s="11"/>
      <c r="M135" s="11"/>
      <c r="N135" s="11"/>
      <c r="O135" s="11"/>
      <c r="P135" s="11"/>
      <c r="Q135" s="10"/>
      <c r="R135" s="10"/>
      <c r="S135" s="11"/>
      <c r="T135" s="11"/>
      <c r="U135" s="11"/>
      <c r="V135" s="11"/>
      <c r="W135" s="12"/>
      <c r="X135" s="12"/>
      <c r="Y135" s="11"/>
      <c r="Z135" s="11"/>
      <c r="AA135" s="10"/>
      <c r="AB135" s="10"/>
      <c r="AC135" s="11"/>
      <c r="AD135" s="11"/>
      <c r="AE135" s="11"/>
      <c r="AF135" s="11"/>
      <c r="AG135" s="11"/>
    </row>
    <row r="136">
      <c r="A136" s="6"/>
      <c r="B136" s="11"/>
      <c r="C136" s="9"/>
    </row>
    <row r="137">
      <c r="A137" s="6"/>
      <c r="B137" s="11"/>
      <c r="C137" s="9"/>
    </row>
    <row r="138">
      <c r="A138" s="6"/>
      <c r="B138" s="11"/>
      <c r="C138" s="9"/>
    </row>
    <row r="139">
      <c r="A139" s="6"/>
      <c r="B139" s="11"/>
      <c r="C139" s="9"/>
    </row>
    <row r="140">
      <c r="A140" s="6"/>
      <c r="B140" s="11"/>
      <c r="C140" s="9"/>
    </row>
    <row r="141">
      <c r="A141" s="6"/>
      <c r="B141" s="11"/>
      <c r="C141" s="9"/>
    </row>
    <row r="142">
      <c r="A142" s="6"/>
      <c r="B142" s="11"/>
      <c r="C142" s="9"/>
    </row>
    <row r="143">
      <c r="A143" s="6"/>
      <c r="B143" s="11"/>
      <c r="C143" s="9"/>
    </row>
    <row r="144">
      <c r="A144" s="6"/>
      <c r="B144" s="11"/>
      <c r="C144" s="9"/>
    </row>
    <row r="145">
      <c r="A145" s="14"/>
      <c r="B145" s="11"/>
      <c r="C145" s="9"/>
      <c r="D145" s="11"/>
      <c r="E145" s="11"/>
      <c r="F145" s="11"/>
      <c r="G145" s="11"/>
      <c r="H145" s="11"/>
      <c r="I145" s="12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/>
      <c r="X145" s="11"/>
      <c r="Y145" s="11"/>
      <c r="Z145" s="11"/>
      <c r="AA145" s="11"/>
      <c r="AB145" s="11"/>
      <c r="AC145" s="11"/>
      <c r="AD145" s="11"/>
      <c r="AE145" s="11"/>
    </row>
    <row r="146">
      <c r="A146" s="14"/>
      <c r="B146" s="11"/>
      <c r="C146" s="9"/>
      <c r="D146" s="11"/>
      <c r="E146" s="11"/>
      <c r="F146" s="11"/>
      <c r="G146" s="11"/>
      <c r="H146" s="11"/>
      <c r="I146" s="12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/>
      <c r="X146" s="12"/>
      <c r="Y146" s="11"/>
      <c r="Z146" s="11"/>
      <c r="AA146" s="11"/>
      <c r="AB146" s="11"/>
      <c r="AC146" s="11"/>
      <c r="AD146" s="11"/>
      <c r="AE146" s="11"/>
    </row>
    <row r="147">
      <c r="A147" s="14"/>
      <c r="B147" s="11"/>
      <c r="C147" s="9"/>
      <c r="D147" s="11"/>
      <c r="E147" s="11"/>
      <c r="F147" s="11"/>
      <c r="G147" s="11"/>
      <c r="H147" s="11"/>
      <c r="I147" s="12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/>
      <c r="X147" s="12"/>
      <c r="Y147" s="11"/>
      <c r="Z147" s="11"/>
      <c r="AA147" s="11"/>
      <c r="AB147" s="11"/>
      <c r="AC147" s="11"/>
      <c r="AD147" s="11"/>
      <c r="AE147" s="11"/>
    </row>
    <row r="148">
      <c r="A148" s="14"/>
      <c r="B148" s="11"/>
      <c r="C148" s="9"/>
      <c r="D148" s="11"/>
      <c r="E148" s="11"/>
      <c r="F148" s="11"/>
      <c r="G148" s="11"/>
      <c r="H148" s="11"/>
      <c r="I148" s="12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/>
      <c r="X148" s="12"/>
      <c r="Y148" s="11"/>
      <c r="Z148" s="11"/>
      <c r="AA148" s="11"/>
      <c r="AB148" s="11"/>
      <c r="AC148" s="11"/>
      <c r="AD148" s="11"/>
      <c r="AE148" s="11"/>
    </row>
    <row r="149">
      <c r="A149" s="14"/>
      <c r="B149" s="11"/>
      <c r="C149" s="9"/>
      <c r="D149" s="11"/>
      <c r="E149" s="11"/>
      <c r="F149" s="11"/>
      <c r="G149" s="11"/>
      <c r="H149" s="11"/>
      <c r="I149" s="12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/>
      <c r="X149" s="12"/>
      <c r="Y149" s="11"/>
      <c r="Z149" s="11"/>
      <c r="AA149" s="11"/>
      <c r="AB149" s="11"/>
      <c r="AC149" s="11"/>
      <c r="AD149" s="11"/>
      <c r="AE149" s="11"/>
    </row>
    <row r="150">
      <c r="A150" s="14"/>
      <c r="B150" s="10"/>
      <c r="C150" s="9"/>
      <c r="D150" s="10"/>
      <c r="E150" s="11"/>
      <c r="F150" s="11"/>
      <c r="G150" s="11"/>
      <c r="H150" s="11"/>
      <c r="I150" s="13"/>
      <c r="J150" s="11"/>
      <c r="K150" s="11"/>
      <c r="L150" s="11"/>
      <c r="M150" s="11"/>
      <c r="N150" s="11"/>
      <c r="O150" s="11"/>
      <c r="P150" s="11"/>
      <c r="Q150" s="10"/>
      <c r="R150" s="10"/>
      <c r="S150" s="11"/>
      <c r="T150" s="11"/>
      <c r="U150" s="11"/>
      <c r="V150" s="11"/>
      <c r="W150" s="12"/>
      <c r="X150" s="12"/>
      <c r="Y150" s="11"/>
      <c r="Z150" s="11"/>
      <c r="AA150" s="11"/>
      <c r="AB150" s="11"/>
      <c r="AC150" s="11"/>
      <c r="AD150" s="11"/>
      <c r="AE150" s="11"/>
    </row>
    <row r="151">
      <c r="A151" s="14"/>
      <c r="B151" s="10"/>
      <c r="C151" s="9"/>
      <c r="D151" s="10"/>
      <c r="E151" s="11"/>
      <c r="F151" s="11"/>
      <c r="G151" s="11"/>
      <c r="H151" s="11"/>
      <c r="I151" s="12"/>
      <c r="J151" s="11"/>
      <c r="K151" s="11"/>
      <c r="L151" s="11"/>
      <c r="M151" s="11"/>
      <c r="N151" s="11"/>
      <c r="O151" s="11"/>
      <c r="P151" s="11"/>
      <c r="Q151" s="10"/>
      <c r="R151" s="10"/>
      <c r="S151" s="11"/>
      <c r="T151" s="11"/>
      <c r="U151" s="11"/>
      <c r="V151" s="11"/>
      <c r="W151" s="12"/>
      <c r="X151" s="12"/>
      <c r="Y151" s="11"/>
      <c r="Z151" s="11"/>
      <c r="AA151" s="11"/>
      <c r="AB151" s="10"/>
      <c r="AC151" s="10"/>
      <c r="AD151" s="11"/>
      <c r="AE151" s="11"/>
    </row>
    <row r="152">
      <c r="A152" s="14"/>
      <c r="B152" s="10"/>
      <c r="C152" s="9"/>
      <c r="D152" s="10"/>
      <c r="E152" s="10"/>
      <c r="F152" s="11"/>
      <c r="G152" s="10"/>
      <c r="H152" s="11"/>
      <c r="I152" s="13"/>
      <c r="J152" s="11"/>
      <c r="K152" s="11"/>
      <c r="L152" s="11"/>
      <c r="M152" s="11"/>
      <c r="N152" s="11"/>
      <c r="O152" s="11"/>
      <c r="P152" s="11"/>
      <c r="Q152" s="10"/>
      <c r="R152" s="11"/>
      <c r="S152" s="10"/>
      <c r="T152" s="11"/>
      <c r="U152" s="11"/>
      <c r="V152" s="11"/>
      <c r="W152" s="13"/>
      <c r="X152" s="13"/>
      <c r="Y152" s="11"/>
      <c r="Z152" s="11"/>
      <c r="AA152" s="11"/>
      <c r="AB152" s="10"/>
      <c r="AC152" s="11"/>
      <c r="AD152" s="11"/>
      <c r="AE152" s="11"/>
    </row>
    <row r="153">
      <c r="A153" s="14"/>
      <c r="B153" s="10"/>
      <c r="C153" s="9"/>
      <c r="D153" s="10"/>
      <c r="E153" s="10"/>
      <c r="F153" s="10"/>
      <c r="G153" s="10"/>
      <c r="H153" s="11"/>
      <c r="I153" s="12"/>
      <c r="J153" s="11"/>
      <c r="K153" s="11"/>
      <c r="L153" s="11"/>
      <c r="M153" s="11"/>
      <c r="N153" s="11"/>
      <c r="O153" s="10"/>
      <c r="P153" s="10"/>
      <c r="Q153" s="10"/>
      <c r="R153" s="10"/>
      <c r="S153" s="11"/>
      <c r="T153" s="11"/>
      <c r="U153" s="11"/>
      <c r="V153" s="11"/>
      <c r="W153" s="13"/>
      <c r="X153" s="12"/>
      <c r="Y153" s="11"/>
      <c r="Z153" s="11"/>
      <c r="AA153" s="11"/>
      <c r="AB153" s="10"/>
      <c r="AC153" s="11"/>
      <c r="AD153" s="11"/>
      <c r="AE153" s="11"/>
    </row>
    <row r="154">
      <c r="A154" s="14"/>
      <c r="B154" s="10"/>
      <c r="C154" s="9"/>
      <c r="D154" s="10"/>
      <c r="E154" s="10"/>
      <c r="F154" s="11"/>
      <c r="G154" s="10"/>
      <c r="H154" s="11"/>
      <c r="I154" s="12"/>
      <c r="J154" s="11"/>
      <c r="K154" s="11"/>
      <c r="L154" s="11"/>
      <c r="M154" s="11"/>
      <c r="N154" s="11"/>
      <c r="O154" s="11"/>
      <c r="P154" s="11"/>
      <c r="Q154" s="10"/>
      <c r="R154" s="11"/>
      <c r="S154" s="10"/>
      <c r="T154" s="11"/>
      <c r="U154" s="11"/>
      <c r="V154" s="11"/>
      <c r="W154" s="12"/>
      <c r="X154" s="13"/>
      <c r="Y154" s="11"/>
      <c r="Z154" s="11"/>
      <c r="AA154" s="11"/>
      <c r="AB154" s="10"/>
      <c r="AC154" s="11"/>
      <c r="AD154" s="11"/>
      <c r="AE154" s="11"/>
    </row>
    <row r="155">
      <c r="A155" s="8"/>
      <c r="B155" s="11"/>
      <c r="C155" s="9"/>
    </row>
    <row r="156">
      <c r="A156" s="8"/>
      <c r="B156" s="11"/>
      <c r="C156" s="9"/>
    </row>
    <row r="157">
      <c r="A157" s="8"/>
      <c r="B157" s="11"/>
      <c r="C157" s="9"/>
    </row>
    <row r="158">
      <c r="A158" s="8"/>
      <c r="B158" s="11"/>
      <c r="C158" s="9"/>
    </row>
    <row r="159">
      <c r="A159" s="8"/>
      <c r="B159" s="11"/>
      <c r="C159" s="9"/>
    </row>
    <row r="160">
      <c r="A160" s="15"/>
      <c r="B160" s="11"/>
      <c r="C160" s="9"/>
      <c r="D160" s="12"/>
      <c r="E160" s="12"/>
      <c r="F160" s="11"/>
      <c r="G160" s="12"/>
      <c r="H160" s="11"/>
      <c r="I160" s="11"/>
      <c r="J160" s="11"/>
      <c r="K160" s="11"/>
      <c r="L160" s="11"/>
      <c r="M160" s="11"/>
      <c r="N160" s="11"/>
      <c r="O160" s="12"/>
      <c r="P160" s="11"/>
      <c r="Q160" s="12"/>
      <c r="R160" s="12"/>
      <c r="S160" s="12"/>
      <c r="T160" s="11"/>
      <c r="U160" s="11"/>
      <c r="V160" s="11"/>
      <c r="W160" s="11"/>
      <c r="X160" s="11"/>
      <c r="Y160" s="11"/>
      <c r="Z160" s="11"/>
      <c r="AA160" s="12"/>
      <c r="AB160" s="13"/>
      <c r="AC160" s="11"/>
      <c r="AD160" s="11"/>
      <c r="AE160" s="11"/>
    </row>
    <row r="161">
      <c r="A161" s="15"/>
      <c r="B161" s="11"/>
      <c r="C161" s="9"/>
      <c r="D161" s="12"/>
      <c r="E161" s="12"/>
      <c r="F161" s="12"/>
      <c r="G161" s="12"/>
      <c r="H161" s="11"/>
      <c r="I161" s="12"/>
      <c r="J161" s="11"/>
      <c r="K161" s="11"/>
      <c r="L161" s="11"/>
      <c r="M161" s="11"/>
      <c r="N161" s="12"/>
      <c r="O161" s="12"/>
      <c r="P161" s="12"/>
      <c r="Q161" s="12"/>
      <c r="R161" s="12"/>
      <c r="S161" s="12"/>
      <c r="T161" s="11"/>
      <c r="U161" s="11"/>
      <c r="V161" s="11"/>
      <c r="W161" s="11"/>
      <c r="X161" s="11"/>
      <c r="Y161" s="11"/>
      <c r="Z161" s="11"/>
      <c r="AA161" s="12"/>
      <c r="AB161" s="12"/>
      <c r="AC161" s="11"/>
      <c r="AD161" s="11"/>
      <c r="AE161" s="11"/>
    </row>
    <row r="162">
      <c r="A162" s="15"/>
      <c r="B162" s="11"/>
      <c r="C162" s="9"/>
      <c r="D162" s="12"/>
      <c r="E162" s="12"/>
      <c r="F162" s="12"/>
      <c r="G162" s="12"/>
      <c r="H162" s="11"/>
      <c r="I162" s="11"/>
      <c r="J162" s="11"/>
      <c r="K162" s="11"/>
      <c r="L162" s="11"/>
      <c r="M162" s="11"/>
      <c r="N162" s="11"/>
      <c r="O162" s="12"/>
      <c r="P162" s="12"/>
      <c r="Q162" s="12"/>
      <c r="R162" s="12"/>
      <c r="S162" s="12"/>
      <c r="T162" s="11"/>
      <c r="U162" s="11"/>
      <c r="V162" s="11"/>
      <c r="W162" s="11"/>
      <c r="X162" s="11"/>
      <c r="Y162" s="11"/>
      <c r="Z162" s="11"/>
      <c r="AA162" s="12"/>
      <c r="AB162" s="12"/>
      <c r="AC162" s="11"/>
      <c r="AD162" s="11"/>
      <c r="AE162" s="11"/>
    </row>
    <row r="163">
      <c r="A163" s="15"/>
      <c r="B163" s="11"/>
      <c r="C163" s="9"/>
      <c r="D163" s="12"/>
      <c r="E163" s="12"/>
      <c r="F163" s="12"/>
      <c r="G163" s="12"/>
      <c r="H163" s="11"/>
      <c r="I163" s="11"/>
      <c r="J163" s="11"/>
      <c r="K163" s="11"/>
      <c r="L163" s="11"/>
      <c r="M163" s="11"/>
      <c r="N163" s="11"/>
      <c r="O163" s="12"/>
      <c r="P163" s="12"/>
      <c r="Q163" s="13"/>
      <c r="R163" s="12"/>
      <c r="S163" s="12"/>
      <c r="T163" s="11"/>
      <c r="U163" s="11"/>
      <c r="V163" s="11"/>
      <c r="W163" s="11"/>
      <c r="X163" s="11"/>
      <c r="Y163" s="11"/>
      <c r="Z163" s="11"/>
      <c r="AA163" s="12"/>
      <c r="AB163" s="12"/>
      <c r="AC163" s="11"/>
      <c r="AD163" s="11"/>
      <c r="AE163" s="11"/>
    </row>
    <row r="164">
      <c r="A164" s="15"/>
      <c r="B164" s="11"/>
      <c r="C164" s="9"/>
      <c r="D164" s="12"/>
      <c r="E164" s="12"/>
      <c r="F164" s="12"/>
      <c r="G164" s="12"/>
      <c r="H164" s="11"/>
      <c r="I164" s="11"/>
      <c r="J164" s="11"/>
      <c r="K164" s="11"/>
      <c r="L164" s="11"/>
      <c r="M164" s="11"/>
      <c r="N164" s="12"/>
      <c r="O164" s="12"/>
      <c r="P164" s="11"/>
      <c r="Q164" s="13"/>
      <c r="R164" s="12"/>
      <c r="S164" s="12"/>
      <c r="T164" s="11"/>
      <c r="U164" s="11"/>
      <c r="V164" s="11"/>
      <c r="W164" s="11"/>
      <c r="X164" s="11"/>
      <c r="Y164" s="11"/>
      <c r="Z164" s="11"/>
      <c r="AA164" s="12"/>
      <c r="AB164" s="12"/>
      <c r="AC164" s="11"/>
      <c r="AD164" s="11"/>
      <c r="AE164" s="11"/>
    </row>
    <row r="165">
      <c r="A165" s="15"/>
      <c r="B165" s="9"/>
      <c r="C165" s="9"/>
    </row>
    <row r="166">
      <c r="A166" s="15"/>
      <c r="B166" s="9"/>
      <c r="C166" s="9"/>
    </row>
    <row r="167">
      <c r="A167" s="15"/>
      <c r="B167" s="9"/>
      <c r="C167" s="9"/>
    </row>
    <row r="168">
      <c r="A168" s="15"/>
      <c r="B168" s="9"/>
      <c r="C168" s="9"/>
    </row>
    <row r="169">
      <c r="A169" s="15"/>
      <c r="B169" s="9"/>
      <c r="C169" s="9"/>
    </row>
    <row r="170">
      <c r="A170" s="15"/>
      <c r="B170" s="9"/>
      <c r="C170" s="9"/>
    </row>
    <row r="171">
      <c r="A171" s="15"/>
      <c r="B171" s="9"/>
      <c r="C171" s="9"/>
    </row>
    <row r="172">
      <c r="A172" s="15"/>
      <c r="B172" s="9"/>
      <c r="C172" s="9"/>
    </row>
    <row r="173">
      <c r="A173" s="15"/>
      <c r="B173" s="9"/>
      <c r="C173" s="9"/>
    </row>
    <row r="174">
      <c r="A174" s="15"/>
      <c r="B174" s="9"/>
      <c r="C174" s="9"/>
    </row>
    <row r="175">
      <c r="A175" s="15"/>
      <c r="B175" s="9"/>
      <c r="C175" s="9"/>
    </row>
    <row r="176">
      <c r="A176" s="15"/>
      <c r="B176" s="9"/>
      <c r="C176" s="9"/>
    </row>
    <row r="177">
      <c r="A177" s="15"/>
      <c r="B177" s="9"/>
      <c r="C177" s="9"/>
    </row>
    <row r="178">
      <c r="A178" s="15"/>
      <c r="B178" s="9"/>
      <c r="C178" s="9"/>
    </row>
    <row r="179">
      <c r="A179" s="15"/>
      <c r="B179" s="9"/>
      <c r="C179" s="9"/>
    </row>
    <row r="180">
      <c r="A180" s="15"/>
      <c r="B180" s="9"/>
      <c r="C180" s="9"/>
    </row>
    <row r="181">
      <c r="A181" s="15"/>
      <c r="B181" s="9"/>
      <c r="C181" s="9"/>
    </row>
    <row r="182">
      <c r="A182" s="15"/>
      <c r="B182" s="9"/>
      <c r="C182" s="9"/>
    </row>
    <row r="183">
      <c r="A183" s="15"/>
      <c r="B183" s="9"/>
      <c r="C183" s="9"/>
    </row>
    <row r="184">
      <c r="A184" s="15"/>
      <c r="B184" s="9"/>
      <c r="C184" s="9"/>
    </row>
    <row r="185">
      <c r="A185" s="15"/>
      <c r="B185" s="9"/>
      <c r="C185" s="9"/>
    </row>
    <row r="186">
      <c r="A186" s="15"/>
      <c r="B186" s="9"/>
      <c r="C186" s="9"/>
    </row>
    <row r="187">
      <c r="A187" s="15"/>
      <c r="B187" s="9"/>
      <c r="C187" s="9"/>
    </row>
    <row r="188">
      <c r="A188" s="15"/>
      <c r="B188" s="9"/>
      <c r="C188" s="9"/>
    </row>
    <row r="189">
      <c r="A189" s="15"/>
      <c r="B189" s="9"/>
      <c r="C189" s="9"/>
    </row>
    <row r="190">
      <c r="A190" s="15"/>
      <c r="B190" s="9"/>
      <c r="C190" s="9"/>
    </row>
    <row r="191">
      <c r="A191" s="15"/>
      <c r="B191" s="9"/>
      <c r="C191" s="9"/>
    </row>
    <row r="192">
      <c r="A192" s="15"/>
      <c r="B192" s="9"/>
      <c r="C192" s="9"/>
    </row>
    <row r="193">
      <c r="A193" s="15"/>
      <c r="B193" s="9"/>
      <c r="C193" s="9"/>
    </row>
    <row r="194">
      <c r="A194" s="15"/>
      <c r="B194" s="9"/>
      <c r="C194" s="9"/>
    </row>
    <row r="195">
      <c r="A195" s="15"/>
      <c r="B195" s="9"/>
      <c r="C195" s="9"/>
    </row>
    <row r="196">
      <c r="A196" s="15"/>
      <c r="B196" s="9"/>
      <c r="C196" s="9"/>
    </row>
    <row r="197">
      <c r="A197" s="15"/>
      <c r="B197" s="9"/>
      <c r="C197" s="9"/>
    </row>
    <row r="198">
      <c r="A198" s="15"/>
      <c r="B198" s="9"/>
      <c r="C198" s="9"/>
    </row>
    <row r="199">
      <c r="A199" s="15"/>
      <c r="B199" s="9"/>
      <c r="C199" s="9"/>
    </row>
    <row r="200">
      <c r="A200" s="15"/>
      <c r="B200" s="9"/>
      <c r="C200" s="9"/>
    </row>
    <row r="201">
      <c r="A201" s="15"/>
      <c r="B201" s="9"/>
      <c r="C201" s="9"/>
    </row>
    <row r="202">
      <c r="A202" s="15"/>
      <c r="B202" s="9"/>
      <c r="C202" s="9"/>
    </row>
    <row r="203">
      <c r="A203" s="15"/>
      <c r="B203" s="9"/>
      <c r="C203" s="9"/>
    </row>
    <row r="204">
      <c r="A204" s="15"/>
      <c r="B204" s="9"/>
      <c r="C204" s="9"/>
    </row>
    <row r="205">
      <c r="A205" s="15"/>
      <c r="B205" s="9"/>
      <c r="C205" s="9"/>
    </row>
    <row r="206">
      <c r="A206" s="15"/>
      <c r="B206" s="9"/>
      <c r="C206" s="9"/>
    </row>
    <row r="207">
      <c r="A207" s="15"/>
      <c r="B207" s="9"/>
      <c r="C207" s="9"/>
    </row>
    <row r="208">
      <c r="A208" s="15"/>
      <c r="B208" s="9"/>
      <c r="C208" s="9"/>
    </row>
    <row r="209">
      <c r="A209" s="15"/>
      <c r="B209" s="9"/>
      <c r="C209" s="9"/>
    </row>
    <row r="210">
      <c r="A210" s="15"/>
      <c r="B210" s="9"/>
      <c r="C210" s="9"/>
    </row>
    <row r="211">
      <c r="A211" s="15"/>
      <c r="B211" s="9"/>
      <c r="C211" s="9"/>
    </row>
    <row r="212">
      <c r="A212" s="15"/>
      <c r="B212" s="9"/>
      <c r="C212" s="9"/>
    </row>
    <row r="213">
      <c r="A213" s="15"/>
      <c r="B213" s="9"/>
      <c r="C213" s="9"/>
    </row>
    <row r="214">
      <c r="A214" s="15"/>
      <c r="B214" s="9"/>
      <c r="C214" s="9"/>
    </row>
    <row r="215">
      <c r="A215" s="15"/>
      <c r="B215" s="9"/>
      <c r="C215" s="9"/>
    </row>
    <row r="216">
      <c r="A216" s="15"/>
      <c r="B216" s="9"/>
      <c r="C216" s="9"/>
    </row>
    <row r="217">
      <c r="A217" s="15"/>
      <c r="B217" s="9"/>
      <c r="C217" s="9"/>
    </row>
    <row r="218">
      <c r="A218" s="15"/>
      <c r="B218" s="9"/>
      <c r="C218" s="9"/>
    </row>
    <row r="219">
      <c r="A219" s="15"/>
      <c r="B219" s="9"/>
      <c r="C219" s="9"/>
    </row>
    <row r="220">
      <c r="A220" s="15"/>
      <c r="B220" s="9"/>
      <c r="C220" s="9"/>
    </row>
    <row r="221">
      <c r="A221" s="15"/>
      <c r="B221" s="9"/>
      <c r="C221" s="9"/>
    </row>
    <row r="222">
      <c r="A222" s="15"/>
      <c r="B222" s="9"/>
      <c r="C222" s="9"/>
    </row>
    <row r="223">
      <c r="A223" s="15"/>
      <c r="B223" s="9"/>
      <c r="C223" s="9"/>
    </row>
    <row r="224">
      <c r="A224" s="15"/>
      <c r="B224" s="9"/>
      <c r="C224" s="9"/>
    </row>
    <row r="225">
      <c r="A225" s="15"/>
      <c r="B225" s="9"/>
      <c r="C225" s="9"/>
    </row>
    <row r="226">
      <c r="A226" s="15"/>
      <c r="B226" s="9"/>
      <c r="C226" s="9"/>
    </row>
    <row r="227">
      <c r="A227" s="15"/>
      <c r="B227" s="9"/>
      <c r="C227" s="9"/>
    </row>
    <row r="228">
      <c r="A228" s="15"/>
      <c r="B228" s="9"/>
      <c r="C228" s="9"/>
    </row>
    <row r="229">
      <c r="A229" s="15"/>
      <c r="B229" s="9"/>
      <c r="C229" s="9"/>
    </row>
    <row r="230">
      <c r="A230" s="15"/>
      <c r="B230" s="9"/>
      <c r="C230" s="9"/>
    </row>
    <row r="231">
      <c r="A231" s="15"/>
      <c r="B231" s="9"/>
      <c r="C231" s="9"/>
    </row>
    <row r="232">
      <c r="A232" s="15"/>
      <c r="B232" s="9"/>
      <c r="C232" s="9"/>
    </row>
    <row r="233">
      <c r="A233" s="15"/>
      <c r="B233" s="9"/>
      <c r="C233" s="9"/>
    </row>
    <row r="234">
      <c r="A234" s="15"/>
      <c r="B234" s="9"/>
      <c r="C234" s="9"/>
    </row>
    <row r="235">
      <c r="A235" s="15"/>
      <c r="B235" s="9"/>
      <c r="C235" s="9"/>
    </row>
    <row r="236">
      <c r="A236" s="15"/>
      <c r="B236" s="9"/>
      <c r="C236" s="9"/>
    </row>
    <row r="237">
      <c r="A237" s="15"/>
      <c r="B237" s="9"/>
      <c r="C237" s="9"/>
    </row>
    <row r="238">
      <c r="A238" s="15"/>
      <c r="B238" s="9"/>
      <c r="C238" s="9"/>
    </row>
    <row r="239">
      <c r="A239" s="15"/>
      <c r="B239" s="9"/>
      <c r="C239" s="9"/>
    </row>
    <row r="240">
      <c r="A240" s="15"/>
      <c r="B240" s="9"/>
      <c r="C240" s="9"/>
    </row>
    <row r="241">
      <c r="A241" s="15"/>
      <c r="B241" s="9"/>
      <c r="C241" s="9"/>
    </row>
    <row r="242">
      <c r="A242" s="15"/>
      <c r="B242" s="9"/>
      <c r="C242" s="9"/>
    </row>
    <row r="243">
      <c r="A243" s="15"/>
      <c r="B243" s="9"/>
      <c r="C243" s="9"/>
    </row>
    <row r="244">
      <c r="A244" s="8"/>
      <c r="B244" s="9"/>
      <c r="C244" s="9"/>
    </row>
    <row r="245">
      <c r="A245" s="8"/>
      <c r="B245" s="9"/>
      <c r="C245" s="9"/>
    </row>
    <row r="246">
      <c r="A246" s="8"/>
      <c r="B246" s="9"/>
      <c r="C246" s="9"/>
    </row>
    <row r="247">
      <c r="A247" s="8"/>
      <c r="B247" s="9"/>
      <c r="C247" s="9"/>
    </row>
    <row r="248">
      <c r="A248" s="8"/>
      <c r="B248" s="9"/>
      <c r="C248" s="9"/>
    </row>
    <row r="249">
      <c r="A249" s="8"/>
      <c r="B249" s="9"/>
      <c r="C249" s="9"/>
    </row>
    <row r="250">
      <c r="A250" s="8"/>
      <c r="B250" s="9"/>
      <c r="C250" s="9"/>
    </row>
    <row r="251">
      <c r="A251" s="8"/>
      <c r="B251" s="9"/>
      <c r="C251" s="9"/>
    </row>
    <row r="252">
      <c r="A252" s="8"/>
      <c r="B252" s="9"/>
      <c r="C252" s="9"/>
    </row>
    <row r="253">
      <c r="A253" s="8"/>
      <c r="B253" s="9"/>
      <c r="C253" s="9"/>
    </row>
    <row r="254">
      <c r="A254" s="8"/>
      <c r="B254" s="9"/>
      <c r="C254" s="9"/>
    </row>
    <row r="255">
      <c r="A255" s="8"/>
      <c r="B255" s="9"/>
      <c r="C255" s="9"/>
    </row>
    <row r="256">
      <c r="A256" s="8"/>
      <c r="B256" s="9"/>
      <c r="C256" s="9"/>
    </row>
    <row r="257">
      <c r="A257" s="8"/>
      <c r="B257" s="9"/>
      <c r="C257" s="9"/>
    </row>
    <row r="258">
      <c r="A258" s="8"/>
      <c r="B258" s="9"/>
      <c r="C258" s="9"/>
    </row>
    <row r="259">
      <c r="A259" s="8"/>
      <c r="B259" s="9"/>
      <c r="C259" s="9"/>
    </row>
    <row r="260">
      <c r="A260" s="8"/>
      <c r="B260" s="9"/>
      <c r="C260" s="9"/>
    </row>
    <row r="261">
      <c r="A261" s="8"/>
      <c r="B261" s="9"/>
      <c r="C261" s="9"/>
    </row>
    <row r="262">
      <c r="A262" s="8"/>
      <c r="B262" s="9"/>
      <c r="C262" s="9"/>
    </row>
    <row r="263">
      <c r="A263" s="8"/>
      <c r="B263" s="9"/>
      <c r="C263" s="9"/>
    </row>
    <row r="264">
      <c r="A264" s="8"/>
      <c r="B264" s="9"/>
      <c r="C264" s="9"/>
    </row>
    <row r="265">
      <c r="A265" s="8"/>
      <c r="B265" s="9"/>
      <c r="C265" s="9"/>
    </row>
    <row r="266">
      <c r="A266" s="8"/>
      <c r="B266" s="9"/>
      <c r="C266" s="9"/>
    </row>
    <row r="267">
      <c r="A267" s="8"/>
      <c r="B267" s="9"/>
      <c r="C267" s="9"/>
    </row>
    <row r="268">
      <c r="A268" s="8"/>
      <c r="B268" s="9"/>
      <c r="C268" s="9"/>
    </row>
    <row r="269">
      <c r="A269" s="8"/>
      <c r="B269" s="9"/>
      <c r="C269" s="9"/>
    </row>
    <row r="270">
      <c r="A270" s="8"/>
      <c r="B270" s="9"/>
      <c r="C270" s="9"/>
    </row>
    <row r="271">
      <c r="A271" s="8"/>
      <c r="B271" s="9"/>
      <c r="C271" s="9"/>
    </row>
    <row r="272">
      <c r="A272" s="8"/>
      <c r="B272" s="9"/>
      <c r="C272" s="9"/>
    </row>
    <row r="273">
      <c r="A273" s="8"/>
      <c r="B273" s="9"/>
      <c r="C273" s="9"/>
    </row>
    <row r="274">
      <c r="A274" s="8"/>
      <c r="B274" s="9"/>
      <c r="C274" s="9"/>
    </row>
    <row r="275">
      <c r="A275" s="8"/>
      <c r="B275" s="9"/>
      <c r="C275" s="9"/>
    </row>
    <row r="276">
      <c r="A276" s="8"/>
      <c r="B276" s="9"/>
      <c r="C276" s="9"/>
    </row>
    <row r="277">
      <c r="A277" s="8"/>
      <c r="B277" s="9"/>
      <c r="C277" s="9"/>
    </row>
    <row r="278">
      <c r="A278" s="8"/>
      <c r="B278" s="9"/>
      <c r="C278" s="9"/>
    </row>
    <row r="279">
      <c r="A279" s="8"/>
      <c r="B279" s="9"/>
      <c r="C279" s="9"/>
    </row>
    <row r="280">
      <c r="A280" s="8"/>
      <c r="B280" s="9"/>
      <c r="C280" s="9"/>
    </row>
    <row r="281">
      <c r="A281" s="8"/>
      <c r="B281" s="9"/>
      <c r="C281" s="9"/>
    </row>
    <row r="282">
      <c r="A282" s="8"/>
      <c r="B282" s="9"/>
      <c r="C282" s="9"/>
    </row>
    <row r="283">
      <c r="A283" s="8"/>
      <c r="B283" s="9"/>
      <c r="C283" s="9"/>
    </row>
    <row r="284">
      <c r="A284" s="8"/>
      <c r="B284" s="9"/>
      <c r="C284" s="9"/>
    </row>
    <row r="285">
      <c r="A285" s="8"/>
      <c r="B285" s="9"/>
      <c r="C285" s="9"/>
    </row>
    <row r="286">
      <c r="A286" s="8"/>
      <c r="B286" s="9"/>
      <c r="C286" s="9"/>
    </row>
    <row r="287">
      <c r="A287" s="8"/>
      <c r="B287" s="9"/>
      <c r="C287" s="9"/>
    </row>
    <row r="288">
      <c r="A288" s="8"/>
      <c r="B288" s="9"/>
      <c r="C288" s="9"/>
    </row>
    <row r="289">
      <c r="A289" s="8"/>
      <c r="B289" s="9"/>
      <c r="C289" s="9"/>
    </row>
    <row r="290">
      <c r="A290" s="8"/>
      <c r="B290" s="9"/>
      <c r="C290" s="9"/>
    </row>
    <row r="291">
      <c r="A291" s="8"/>
      <c r="B291" s="9"/>
      <c r="C291" s="9"/>
    </row>
    <row r="292">
      <c r="A292" s="8"/>
      <c r="B292" s="9"/>
      <c r="C292" s="9"/>
    </row>
    <row r="293">
      <c r="A293" s="8"/>
      <c r="B293" s="9"/>
      <c r="C293" s="9"/>
    </row>
    <row r="294">
      <c r="A294" s="8"/>
      <c r="B294" s="9"/>
      <c r="C294" s="9"/>
    </row>
    <row r="295">
      <c r="A295" s="8"/>
      <c r="B295" s="9"/>
      <c r="C295" s="9"/>
    </row>
    <row r="296">
      <c r="A296" s="8"/>
      <c r="B296" s="9"/>
      <c r="C296" s="9"/>
    </row>
    <row r="297">
      <c r="A297" s="8"/>
      <c r="B297" s="9"/>
      <c r="C297" s="9"/>
    </row>
    <row r="298">
      <c r="A298" s="8"/>
      <c r="B298" s="9"/>
      <c r="C298" s="9"/>
    </row>
    <row r="299">
      <c r="A299" s="8"/>
      <c r="B299" s="9"/>
      <c r="C299" s="9"/>
    </row>
    <row r="300">
      <c r="A300" s="8"/>
      <c r="B300" s="9"/>
      <c r="C300" s="9"/>
    </row>
    <row r="301">
      <c r="A301" s="8"/>
      <c r="B301" s="9"/>
      <c r="C301" s="9"/>
    </row>
    <row r="302">
      <c r="A302" s="8"/>
      <c r="B302" s="9"/>
      <c r="C302" s="9"/>
    </row>
    <row r="303">
      <c r="A303" s="8"/>
      <c r="B303" s="9"/>
      <c r="C303" s="9"/>
    </row>
    <row r="304">
      <c r="A304" s="8"/>
      <c r="B304" s="9"/>
      <c r="C304" s="9"/>
    </row>
    <row r="305">
      <c r="A305" s="8"/>
      <c r="B305" s="9"/>
      <c r="C305" s="9"/>
    </row>
    <row r="306">
      <c r="A306" s="8"/>
      <c r="B306" s="9"/>
      <c r="C306" s="9"/>
    </row>
    <row r="307">
      <c r="A307" s="8"/>
      <c r="B307" s="9"/>
      <c r="C307" s="9"/>
    </row>
    <row r="308">
      <c r="A308" s="8"/>
      <c r="B308" s="9"/>
      <c r="C308" s="9"/>
    </row>
    <row r="309">
      <c r="A309" s="8"/>
      <c r="B309" s="9"/>
      <c r="C309" s="9"/>
    </row>
    <row r="310">
      <c r="A310" s="8"/>
      <c r="B310" s="9"/>
      <c r="C310" s="9"/>
    </row>
    <row r="311">
      <c r="A311" s="8"/>
      <c r="B311" s="9"/>
      <c r="C311" s="9"/>
    </row>
    <row r="312">
      <c r="A312" s="8"/>
      <c r="B312" s="9"/>
      <c r="C312" s="9"/>
    </row>
    <row r="313">
      <c r="A313" s="8"/>
      <c r="B313" s="9"/>
      <c r="C313" s="9"/>
    </row>
    <row r="314">
      <c r="A314" s="8"/>
      <c r="B314" s="9"/>
      <c r="C314" s="9"/>
    </row>
    <row r="315">
      <c r="A315" s="8"/>
      <c r="B315" s="9"/>
      <c r="C315" s="9"/>
    </row>
    <row r="316">
      <c r="A316" s="8"/>
      <c r="B316" s="9"/>
      <c r="C316" s="9"/>
    </row>
    <row r="317">
      <c r="A317" s="8"/>
      <c r="B317" s="9"/>
      <c r="C317" s="9"/>
    </row>
    <row r="318">
      <c r="A318" s="8"/>
      <c r="B318" s="9"/>
      <c r="C318" s="9"/>
    </row>
    <row r="319">
      <c r="A319" s="8"/>
      <c r="B319" s="9"/>
      <c r="C319" s="9"/>
    </row>
    <row r="320">
      <c r="A320" s="8"/>
      <c r="B320" s="9"/>
      <c r="C320" s="9"/>
    </row>
    <row r="321">
      <c r="A321" s="8"/>
      <c r="B321" s="9"/>
      <c r="C321" s="9"/>
    </row>
    <row r="322">
      <c r="A322" s="8"/>
      <c r="B322" s="9"/>
      <c r="C322" s="9"/>
    </row>
    <row r="323">
      <c r="A323" s="8"/>
      <c r="B323" s="9"/>
      <c r="C323" s="9"/>
    </row>
    <row r="324">
      <c r="A324" s="8"/>
      <c r="B324" s="9"/>
      <c r="C324" s="9"/>
    </row>
    <row r="325">
      <c r="A325" s="8"/>
      <c r="B325" s="9"/>
      <c r="C325" s="9"/>
    </row>
    <row r="326">
      <c r="A326" s="8"/>
      <c r="B326" s="9"/>
      <c r="C326" s="9"/>
    </row>
    <row r="327">
      <c r="A327" s="8"/>
      <c r="B327" s="9"/>
      <c r="C327" s="9"/>
    </row>
    <row r="328">
      <c r="A328" s="8"/>
      <c r="B328" s="9"/>
      <c r="C328" s="9"/>
    </row>
    <row r="329">
      <c r="A329" s="8"/>
      <c r="B329" s="9"/>
      <c r="C329" s="9"/>
    </row>
    <row r="330">
      <c r="A330" s="8"/>
      <c r="B330" s="9"/>
      <c r="C330" s="9"/>
    </row>
    <row r="331">
      <c r="A331" s="8"/>
      <c r="B331" s="9"/>
      <c r="C331" s="9"/>
    </row>
    <row r="332">
      <c r="A332" s="8"/>
      <c r="B332" s="9"/>
      <c r="C332" s="9"/>
    </row>
    <row r="333">
      <c r="A333" s="8"/>
      <c r="B333" s="9"/>
      <c r="C333" s="9"/>
    </row>
    <row r="334">
      <c r="A334" s="8"/>
      <c r="B334" s="9"/>
      <c r="C334" s="9"/>
    </row>
    <row r="335" ht="12.75" customHeight="1">
      <c r="A335" s="8"/>
      <c r="B335" s="9"/>
      <c r="C335" s="9"/>
    </row>
    <row r="336">
      <c r="A336" s="8"/>
      <c r="B336" s="9"/>
      <c r="C336" s="9"/>
    </row>
    <row r="337">
      <c r="A337" s="8"/>
      <c r="B337" s="9"/>
      <c r="C337" s="9"/>
    </row>
    <row r="338">
      <c r="A338" s="8"/>
      <c r="B338" s="9"/>
      <c r="C338" s="9"/>
    </row>
    <row r="339">
      <c r="A339" s="8"/>
      <c r="B339" s="9"/>
      <c r="C339" s="9"/>
    </row>
    <row r="340">
      <c r="A340" s="8"/>
      <c r="B340" s="9"/>
      <c r="C340" s="9"/>
    </row>
    <row r="341">
      <c r="A341" s="8"/>
      <c r="B341" s="9"/>
      <c r="C341" s="9"/>
    </row>
    <row r="342">
      <c r="A342" s="8"/>
      <c r="B342" s="9"/>
      <c r="C342" s="9"/>
    </row>
    <row r="343">
      <c r="A343" s="8"/>
      <c r="B343" s="9"/>
      <c r="C343" s="9"/>
    </row>
    <row r="344">
      <c r="A344" s="8"/>
      <c r="B344" s="9"/>
      <c r="C344" s="9"/>
    </row>
    <row r="345">
      <c r="A345" s="8"/>
      <c r="B345" s="9"/>
      <c r="C345" s="9"/>
    </row>
    <row r="346">
      <c r="A346" s="8"/>
      <c r="B346" s="9"/>
      <c r="C346" s="9"/>
    </row>
    <row r="347">
      <c r="A347" s="8"/>
      <c r="B347" s="9"/>
      <c r="C347" s="9"/>
    </row>
    <row r="348">
      <c r="A348" s="8"/>
      <c r="B348" s="9"/>
      <c r="C348" s="9"/>
    </row>
    <row r="349">
      <c r="A349" s="8"/>
      <c r="B349" s="9"/>
      <c r="C349" s="9"/>
    </row>
    <row r="350">
      <c r="A350" s="8"/>
      <c r="B350" s="9"/>
      <c r="C350" s="9"/>
    </row>
    <row r="351">
      <c r="A351" s="8"/>
      <c r="B351" s="9"/>
      <c r="C351" s="9"/>
    </row>
    <row r="352">
      <c r="A352" s="8"/>
      <c r="B352" s="9"/>
      <c r="C352" s="9"/>
    </row>
    <row r="353">
      <c r="A353" s="8"/>
      <c r="B353" s="9"/>
      <c r="C353" s="9"/>
    </row>
    <row r="354">
      <c r="A354" s="8"/>
      <c r="B354" s="9"/>
      <c r="C354" s="9"/>
    </row>
    <row r="355">
      <c r="A355" s="8"/>
      <c r="B355" s="9"/>
      <c r="C355" s="9"/>
    </row>
    <row r="356">
      <c r="A356" s="8"/>
      <c r="B356" s="9"/>
      <c r="C356" s="9"/>
    </row>
    <row r="357">
      <c r="A357" s="8"/>
      <c r="B357" s="9"/>
      <c r="C357" s="9"/>
    </row>
    <row r="358">
      <c r="A358" s="8"/>
      <c r="B358" s="9"/>
      <c r="C358" s="9"/>
    </row>
    <row r="359">
      <c r="A359" s="8"/>
      <c r="B359" s="9"/>
      <c r="C359" s="9"/>
    </row>
    <row r="360">
      <c r="A360" s="8"/>
      <c r="B360" s="9"/>
      <c r="C360" s="9"/>
    </row>
    <row r="361">
      <c r="A361" s="8"/>
      <c r="B361" s="9"/>
      <c r="C361" s="9"/>
    </row>
    <row r="362">
      <c r="A362" s="8"/>
      <c r="B362" s="9"/>
      <c r="C362" s="9"/>
    </row>
    <row r="363">
      <c r="A363" s="8"/>
      <c r="B363" s="9"/>
      <c r="C363" s="9"/>
    </row>
    <row r="364">
      <c r="A364" s="8"/>
      <c r="B364" s="9"/>
      <c r="C364" s="9"/>
    </row>
    <row r="365">
      <c r="A365" s="8"/>
      <c r="B365" s="9"/>
      <c r="C365" s="9"/>
    </row>
    <row r="366">
      <c r="A366" s="8"/>
      <c r="B366" s="9"/>
      <c r="C366" s="9"/>
    </row>
    <row r="367">
      <c r="A367" s="8"/>
      <c r="B367" s="9"/>
      <c r="C367" s="9"/>
    </row>
    <row r="368">
      <c r="A368" s="8"/>
      <c r="B368" s="9"/>
      <c r="C368" s="9"/>
    </row>
    <row r="369">
      <c r="A369" s="8"/>
      <c r="B369" s="9"/>
      <c r="C369" s="9"/>
    </row>
    <row r="370">
      <c r="A370" s="8"/>
      <c r="B370" s="9"/>
      <c r="C370" s="9"/>
    </row>
    <row r="371">
      <c r="A371" s="8"/>
      <c r="B371" s="9"/>
      <c r="C371" s="9"/>
    </row>
    <row r="372">
      <c r="A372" s="8"/>
      <c r="B372" s="9"/>
      <c r="C372" s="9"/>
    </row>
    <row r="373">
      <c r="A373" s="8"/>
      <c r="B373" s="9"/>
      <c r="C373" s="9"/>
    </row>
    <row r="374">
      <c r="A374" s="8"/>
      <c r="B374" s="9"/>
      <c r="C374" s="9"/>
    </row>
    <row r="375">
      <c r="A375" s="8"/>
      <c r="B375" s="9"/>
      <c r="C375" s="9"/>
    </row>
    <row r="376">
      <c r="A376" s="8"/>
      <c r="B376" s="9"/>
      <c r="C376" s="9"/>
    </row>
    <row r="377">
      <c r="A377" s="8"/>
      <c r="B377" s="9"/>
      <c r="C377" s="9"/>
    </row>
    <row r="378">
      <c r="A378" s="8"/>
      <c r="B378" s="9"/>
      <c r="C378" s="9"/>
    </row>
    <row r="379">
      <c r="A379" s="8"/>
      <c r="B379" s="9"/>
      <c r="C379" s="9"/>
    </row>
    <row r="380">
      <c r="A380" s="8"/>
      <c r="B380" s="9"/>
      <c r="C380" s="9"/>
    </row>
    <row r="381">
      <c r="A381" s="8"/>
      <c r="B381" s="9"/>
      <c r="C381" s="9"/>
    </row>
    <row r="382">
      <c r="A382" s="8"/>
      <c r="B382" s="9"/>
      <c r="C382" s="9"/>
    </row>
    <row r="383">
      <c r="A383" s="8"/>
      <c r="B383" s="9"/>
      <c r="C383" s="9"/>
    </row>
    <row r="384">
      <c r="A384" s="8"/>
      <c r="B384" s="9"/>
      <c r="C384" s="9"/>
    </row>
    <row r="385">
      <c r="A385" s="8"/>
      <c r="B385" s="9"/>
      <c r="C385" s="9"/>
    </row>
    <row r="386">
      <c r="A386" s="8"/>
      <c r="B386" s="9"/>
      <c r="C386" s="9"/>
    </row>
    <row r="387">
      <c r="A387" s="8"/>
      <c r="B387" s="9"/>
      <c r="C387" s="9"/>
    </row>
    <row r="388">
      <c r="A388" s="8"/>
      <c r="B388" s="9"/>
      <c r="C388" s="9"/>
    </row>
    <row r="389">
      <c r="A389" s="8"/>
      <c r="B389" s="9"/>
      <c r="C389" s="9"/>
    </row>
    <row r="390">
      <c r="A390" s="8"/>
      <c r="B390" s="9"/>
      <c r="C390" s="9"/>
    </row>
    <row r="391">
      <c r="A391" s="8"/>
      <c r="B391" s="9"/>
      <c r="C391" s="9"/>
    </row>
    <row r="392">
      <c r="A392" s="8"/>
      <c r="B392" s="9"/>
      <c r="C392" s="9"/>
    </row>
    <row r="393">
      <c r="A393" s="8"/>
      <c r="B393" s="9"/>
      <c r="C393" s="9"/>
    </row>
    <row r="394">
      <c r="A394" s="8"/>
      <c r="B394" s="9"/>
      <c r="C394" s="9"/>
    </row>
    <row r="395">
      <c r="A395" s="8"/>
      <c r="B395" s="9"/>
      <c r="C395" s="9"/>
    </row>
    <row r="396">
      <c r="A396" s="8"/>
      <c r="B396" s="9"/>
      <c r="C396" s="9"/>
    </row>
    <row r="397">
      <c r="A397" s="8"/>
      <c r="B397" s="9"/>
      <c r="C397" s="9"/>
    </row>
    <row r="398">
      <c r="A398" s="8"/>
      <c r="B398" s="9"/>
      <c r="C398" s="9"/>
    </row>
    <row r="399">
      <c r="A399" s="8"/>
      <c r="B399" s="9"/>
      <c r="C399" s="9"/>
    </row>
    <row r="400">
      <c r="A400" s="8"/>
      <c r="B400" s="9"/>
      <c r="C400" s="9"/>
    </row>
    <row r="401">
      <c r="A401" s="8"/>
      <c r="B401" s="9"/>
      <c r="C401" s="9"/>
    </row>
    <row r="402">
      <c r="A402" s="8"/>
      <c r="B402" s="9"/>
      <c r="C402" s="9"/>
    </row>
    <row r="403">
      <c r="A403" s="8"/>
      <c r="B403" s="9"/>
      <c r="C403" s="9"/>
    </row>
    <row r="404">
      <c r="A404" s="8"/>
      <c r="B404" s="9"/>
      <c r="C404" s="9"/>
    </row>
    <row r="405">
      <c r="A405" s="8"/>
      <c r="B405" s="9"/>
      <c r="C405" s="9"/>
    </row>
    <row r="406">
      <c r="A406" s="8"/>
      <c r="B406" s="9"/>
      <c r="C406" s="9"/>
    </row>
    <row r="407">
      <c r="A407" s="8"/>
      <c r="B407" s="9"/>
      <c r="C407" s="9"/>
    </row>
    <row r="408">
      <c r="A408" s="8"/>
      <c r="B408" s="9"/>
      <c r="C408" s="9"/>
    </row>
    <row r="409">
      <c r="A409" s="8"/>
      <c r="B409" s="9"/>
      <c r="C409" s="9"/>
    </row>
    <row r="410">
      <c r="A410" s="8"/>
      <c r="B410" s="9"/>
      <c r="C410" s="9"/>
    </row>
    <row r="411">
      <c r="A411" s="8"/>
      <c r="B411" s="9"/>
      <c r="C411" s="9"/>
    </row>
    <row r="412">
      <c r="A412" s="8"/>
      <c r="B412" s="9"/>
      <c r="C412" s="9"/>
    </row>
    <row r="413">
      <c r="A413" s="8"/>
      <c r="B413" s="9"/>
      <c r="C413" s="9"/>
    </row>
    <row r="414">
      <c r="A414" s="8"/>
      <c r="B414" s="9"/>
      <c r="C414" s="9"/>
    </row>
    <row r="415">
      <c r="A415" s="8"/>
      <c r="B415" s="9"/>
      <c r="C415" s="9"/>
    </row>
    <row r="416">
      <c r="A416" s="8"/>
      <c r="B416" s="9"/>
      <c r="C416" s="9"/>
    </row>
    <row r="417">
      <c r="A417" s="8"/>
      <c r="B417" s="9"/>
      <c r="C417" s="9"/>
    </row>
    <row r="418">
      <c r="A418" s="8"/>
      <c r="B418" s="9"/>
      <c r="C418" s="9"/>
    </row>
    <row r="419">
      <c r="A419" s="8"/>
      <c r="B419" s="9"/>
      <c r="C419" s="9"/>
    </row>
    <row r="420">
      <c r="A420" s="8"/>
      <c r="B420" s="9"/>
      <c r="C420" s="9"/>
    </row>
    <row r="421">
      <c r="A421" s="8"/>
      <c r="B421" s="9"/>
      <c r="C421" s="9"/>
    </row>
    <row r="422">
      <c r="A422" s="8"/>
      <c r="B422" s="9"/>
      <c r="C422" s="9"/>
    </row>
    <row r="423">
      <c r="A423" s="8"/>
      <c r="B423" s="9"/>
      <c r="C423" s="9"/>
    </row>
    <row r="424">
      <c r="A424" s="8"/>
      <c r="B424" s="9"/>
      <c r="C424" s="9"/>
    </row>
    <row r="425">
      <c r="A425" s="8"/>
      <c r="B425" s="9"/>
      <c r="C425" s="9"/>
    </row>
    <row r="426">
      <c r="A426" s="8"/>
      <c r="B426" s="9"/>
      <c r="C426" s="9"/>
    </row>
    <row r="427">
      <c r="A427" s="8"/>
      <c r="B427" s="9"/>
      <c r="C427" s="9"/>
    </row>
    <row r="428">
      <c r="A428" s="8"/>
      <c r="B428" s="9"/>
      <c r="C428" s="9"/>
    </row>
    <row r="429">
      <c r="A429" s="8"/>
      <c r="B429" s="9"/>
      <c r="C429" s="9"/>
    </row>
    <row r="430">
      <c r="A430" s="8"/>
      <c r="B430" s="9"/>
      <c r="C430" s="9"/>
    </row>
    <row r="431">
      <c r="A431" s="8"/>
      <c r="B431" s="9"/>
      <c r="C431" s="9"/>
    </row>
    <row r="432">
      <c r="A432" s="8"/>
      <c r="B432" s="9"/>
      <c r="C432" s="9"/>
    </row>
    <row r="433">
      <c r="A433" s="8"/>
      <c r="B433" s="9"/>
      <c r="C433" s="9"/>
    </row>
    <row r="434">
      <c r="A434" s="8"/>
      <c r="B434" s="9"/>
      <c r="C434" s="9"/>
    </row>
    <row r="435">
      <c r="A435" s="8"/>
      <c r="B435" s="9"/>
      <c r="C435" s="9"/>
    </row>
    <row r="436">
      <c r="A436" s="8"/>
      <c r="B436" s="9"/>
      <c r="C436" s="9"/>
    </row>
    <row r="437">
      <c r="A437" s="8"/>
      <c r="B437" s="9"/>
      <c r="C437" s="9"/>
    </row>
    <row r="438">
      <c r="A438" s="8"/>
      <c r="B438" s="9"/>
      <c r="C438" s="9"/>
    </row>
    <row r="439">
      <c r="A439" s="8"/>
      <c r="B439" s="9"/>
      <c r="C439" s="9"/>
    </row>
    <row r="440">
      <c r="A440" s="8"/>
      <c r="B440" s="9"/>
      <c r="C440" s="9"/>
    </row>
    <row r="441">
      <c r="A441" s="8"/>
      <c r="B441" s="9"/>
      <c r="C441" s="9"/>
    </row>
    <row r="442">
      <c r="A442" s="8"/>
      <c r="B442" s="9"/>
      <c r="C442" s="9"/>
    </row>
    <row r="443">
      <c r="A443" s="8"/>
      <c r="B443" s="9"/>
      <c r="C443" s="9"/>
    </row>
    <row r="444">
      <c r="A444" s="8"/>
      <c r="B444" s="9"/>
      <c r="C444" s="9"/>
    </row>
    <row r="445">
      <c r="A445" s="8"/>
      <c r="B445" s="9"/>
      <c r="C445" s="9"/>
    </row>
    <row r="446">
      <c r="A446" s="8"/>
      <c r="B446" s="9"/>
      <c r="C446" s="9"/>
    </row>
    <row r="447">
      <c r="A447" s="8"/>
      <c r="B447" s="9"/>
      <c r="C447" s="9"/>
    </row>
    <row r="448">
      <c r="A448" s="8"/>
      <c r="B448" s="9"/>
      <c r="C448" s="9"/>
    </row>
    <row r="449">
      <c r="A449" s="8"/>
      <c r="B449" s="9"/>
      <c r="C449" s="9"/>
    </row>
    <row r="450">
      <c r="A450" s="8"/>
      <c r="B450" s="9"/>
      <c r="C450" s="9"/>
    </row>
    <row r="451">
      <c r="A451" s="8"/>
      <c r="B451" s="9"/>
      <c r="C451" s="9"/>
    </row>
    <row r="452">
      <c r="A452" s="8"/>
      <c r="B452" s="9"/>
      <c r="C452" s="9"/>
    </row>
    <row r="453">
      <c r="A453" s="8"/>
      <c r="B453" s="9"/>
      <c r="C453" s="9"/>
    </row>
    <row r="454">
      <c r="A454" s="8"/>
      <c r="B454" s="9"/>
      <c r="C454" s="9"/>
    </row>
    <row r="455">
      <c r="A455" s="8"/>
      <c r="B455" s="9"/>
      <c r="C455" s="9"/>
    </row>
    <row r="456">
      <c r="A456" s="8"/>
      <c r="B456" s="9"/>
      <c r="C456" s="9"/>
    </row>
    <row r="457">
      <c r="A457" s="8"/>
      <c r="B457" s="9"/>
      <c r="C457" s="9"/>
    </row>
    <row r="458">
      <c r="A458" s="8"/>
      <c r="B458" s="9"/>
      <c r="C458" s="9"/>
    </row>
    <row r="459">
      <c r="A459" s="8"/>
      <c r="B459" s="9"/>
      <c r="C459" s="9"/>
    </row>
    <row r="460">
      <c r="A460" s="8"/>
      <c r="B460" s="9"/>
      <c r="C460" s="9"/>
    </row>
    <row r="461">
      <c r="A461" s="8"/>
      <c r="B461" s="9"/>
      <c r="C461" s="9"/>
    </row>
    <row r="462">
      <c r="A462" s="8"/>
      <c r="B462" s="9"/>
      <c r="C462" s="9"/>
    </row>
    <row r="463">
      <c r="A463" s="8"/>
      <c r="B463" s="9"/>
      <c r="C463" s="9"/>
    </row>
    <row r="464">
      <c r="A464" s="8"/>
      <c r="B464" s="9"/>
      <c r="C464" s="9"/>
    </row>
    <row r="465">
      <c r="A465" s="8"/>
      <c r="B465" s="9"/>
      <c r="C465" s="9"/>
    </row>
    <row r="466">
      <c r="A466" s="8"/>
      <c r="B466" s="9"/>
      <c r="C466" s="9"/>
    </row>
    <row r="467">
      <c r="A467" s="8"/>
      <c r="B467" s="9"/>
      <c r="C467" s="9"/>
    </row>
    <row r="468">
      <c r="A468" s="8"/>
      <c r="B468" s="9"/>
      <c r="C468" s="9"/>
    </row>
    <row r="469">
      <c r="A469" s="8"/>
      <c r="B469" s="9"/>
      <c r="C469" s="9"/>
    </row>
    <row r="470">
      <c r="A470" s="8"/>
      <c r="B470" s="9"/>
      <c r="C470" s="9"/>
    </row>
    <row r="471">
      <c r="A471" s="8"/>
      <c r="B471" s="9"/>
      <c r="C471" s="9"/>
    </row>
    <row r="472">
      <c r="A472" s="8"/>
      <c r="B472" s="9"/>
      <c r="C472" s="9"/>
    </row>
    <row r="473">
      <c r="A473" s="8"/>
      <c r="B473" s="9"/>
      <c r="C473" s="9"/>
    </row>
    <row r="474">
      <c r="A474" s="8"/>
      <c r="B474" s="9"/>
      <c r="C474" s="9"/>
    </row>
    <row r="475">
      <c r="A475" s="8"/>
      <c r="B475" s="9"/>
      <c r="C475" s="9"/>
    </row>
    <row r="476">
      <c r="A476" s="8"/>
      <c r="B476" s="9"/>
      <c r="C476" s="9"/>
    </row>
    <row r="477">
      <c r="A477" s="8"/>
      <c r="B477" s="9"/>
      <c r="C477" s="9"/>
    </row>
    <row r="478">
      <c r="A478" s="8"/>
      <c r="B478" s="9"/>
      <c r="C478" s="9"/>
    </row>
    <row r="479">
      <c r="A479" s="8"/>
      <c r="B479" s="9"/>
      <c r="C479" s="9"/>
    </row>
    <row r="480">
      <c r="A480" s="8"/>
      <c r="B480" s="9"/>
      <c r="C480" s="9"/>
    </row>
    <row r="481">
      <c r="A481" s="8"/>
      <c r="B481" s="9"/>
      <c r="C481" s="9"/>
    </row>
    <row r="482">
      <c r="A482" s="8"/>
      <c r="B482" s="9"/>
      <c r="C482" s="9"/>
    </row>
    <row r="483">
      <c r="A483" s="8"/>
      <c r="B483" s="9"/>
      <c r="C483" s="9"/>
    </row>
    <row r="484">
      <c r="A484" s="8"/>
      <c r="B484" s="9"/>
      <c r="C484" s="9"/>
    </row>
    <row r="485">
      <c r="A485" s="8"/>
      <c r="B485" s="9"/>
      <c r="C485" s="9"/>
    </row>
    <row r="486">
      <c r="A486" s="8"/>
      <c r="B486" s="9"/>
      <c r="C486" s="9"/>
    </row>
    <row r="487">
      <c r="A487" s="8"/>
      <c r="B487" s="9"/>
      <c r="C487" s="9"/>
    </row>
    <row r="488">
      <c r="A488" s="8"/>
      <c r="B488" s="9"/>
      <c r="C488" s="9"/>
    </row>
    <row r="489">
      <c r="A489" s="8"/>
      <c r="B489" s="9"/>
      <c r="C489" s="9"/>
    </row>
    <row r="490">
      <c r="A490" s="8"/>
      <c r="B490" s="9"/>
      <c r="C490" s="9"/>
    </row>
    <row r="491">
      <c r="A491" s="8"/>
      <c r="B491" s="9"/>
      <c r="C491" s="9"/>
    </row>
    <row r="492">
      <c r="A492" s="8"/>
      <c r="B492" s="9"/>
      <c r="C492" s="9"/>
    </row>
    <row r="493">
      <c r="A493" s="8"/>
      <c r="B493" s="9"/>
      <c r="C493" s="9"/>
    </row>
    <row r="494">
      <c r="A494" s="8"/>
      <c r="B494" s="9"/>
      <c r="C494" s="9"/>
    </row>
    <row r="495">
      <c r="A495" s="8"/>
      <c r="B495" s="9"/>
      <c r="C495" s="9"/>
    </row>
    <row r="496">
      <c r="A496" s="8"/>
      <c r="B496" s="9"/>
      <c r="C496" s="9"/>
    </row>
    <row r="497">
      <c r="A497" s="8"/>
      <c r="B497" s="9"/>
      <c r="C497" s="9"/>
    </row>
    <row r="498">
      <c r="A498" s="8"/>
      <c r="B498" s="9"/>
      <c r="C498" s="9"/>
    </row>
    <row r="499">
      <c r="A499" s="8"/>
      <c r="B499" s="9"/>
      <c r="C499" s="9"/>
    </row>
    <row r="500">
      <c r="A500" s="8"/>
      <c r="B500" s="9"/>
      <c r="C500" s="9"/>
    </row>
    <row r="501">
      <c r="A501" s="8"/>
      <c r="B501" s="9"/>
      <c r="C501" s="9"/>
    </row>
    <row r="502">
      <c r="A502" s="8"/>
      <c r="B502" s="9"/>
      <c r="C502" s="9"/>
    </row>
    <row r="503">
      <c r="A503" s="8"/>
      <c r="B503" s="9"/>
      <c r="C503" s="9"/>
    </row>
    <row r="504">
      <c r="A504" s="8"/>
      <c r="B504" s="9"/>
      <c r="C504" s="9"/>
    </row>
    <row r="505">
      <c r="A505" s="8"/>
      <c r="B505" s="9"/>
      <c r="C505" s="9"/>
    </row>
    <row r="506">
      <c r="A506" s="8"/>
      <c r="B506" s="9"/>
      <c r="C506" s="9"/>
    </row>
    <row r="507">
      <c r="A507" s="8"/>
      <c r="B507" s="9"/>
      <c r="C507" s="9"/>
    </row>
    <row r="508">
      <c r="A508" s="8"/>
      <c r="B508" s="9"/>
      <c r="C508" s="9"/>
    </row>
    <row r="509">
      <c r="A509" s="8"/>
      <c r="B509" s="9"/>
      <c r="C509" s="9"/>
    </row>
    <row r="510">
      <c r="A510" s="8"/>
      <c r="B510" s="9"/>
      <c r="C510" s="9"/>
    </row>
    <row r="511">
      <c r="A511" s="8"/>
      <c r="B511" s="9"/>
      <c r="C511" s="9"/>
    </row>
    <row r="512">
      <c r="A512" s="8"/>
      <c r="B512" s="9"/>
      <c r="C512" s="9"/>
    </row>
    <row r="513">
      <c r="A513" s="8"/>
      <c r="B513" s="9"/>
      <c r="C513" s="9"/>
    </row>
    <row r="514">
      <c r="A514" s="8"/>
      <c r="B514" s="9"/>
      <c r="C514" s="9"/>
    </row>
    <row r="515">
      <c r="A515" s="8"/>
      <c r="B515" s="9"/>
      <c r="C515" s="9"/>
    </row>
    <row r="516">
      <c r="A516" s="8"/>
      <c r="B516" s="9"/>
      <c r="C516" s="9"/>
    </row>
    <row r="517">
      <c r="A517" s="8"/>
      <c r="B517" s="9"/>
      <c r="C517" s="9"/>
    </row>
    <row r="518">
      <c r="A518" s="8"/>
      <c r="B518" s="9"/>
      <c r="C518" s="9"/>
    </row>
    <row r="519">
      <c r="A519" s="8"/>
      <c r="B519" s="9"/>
      <c r="C519" s="9"/>
    </row>
    <row r="520">
      <c r="A520" s="8"/>
      <c r="B520" s="9"/>
      <c r="C520" s="9"/>
    </row>
    <row r="521">
      <c r="A521" s="8"/>
      <c r="B521" s="9"/>
      <c r="C521" s="9"/>
    </row>
    <row r="522">
      <c r="A522" s="8"/>
      <c r="B522" s="9"/>
      <c r="C522" s="9"/>
    </row>
    <row r="523">
      <c r="A523" s="8"/>
      <c r="B523" s="9"/>
      <c r="C523" s="9"/>
    </row>
    <row r="524">
      <c r="A524" s="8"/>
      <c r="B524" s="9"/>
      <c r="C524" s="9"/>
    </row>
    <row r="525">
      <c r="A525" s="8"/>
      <c r="B525" s="9"/>
      <c r="C525" s="9"/>
    </row>
    <row r="526">
      <c r="A526" s="8"/>
      <c r="B526" s="9"/>
      <c r="C526" s="9"/>
    </row>
    <row r="527">
      <c r="A527" s="8"/>
      <c r="B527" s="9"/>
      <c r="C527" s="9"/>
    </row>
    <row r="528">
      <c r="A528" s="8"/>
      <c r="B528" s="9"/>
      <c r="C528" s="9"/>
    </row>
    <row r="529">
      <c r="A529" s="8"/>
      <c r="B529" s="9"/>
      <c r="C529" s="9"/>
    </row>
    <row r="530">
      <c r="A530" s="8"/>
      <c r="B530" s="9"/>
      <c r="C530" s="9"/>
    </row>
    <row r="531">
      <c r="A531" s="8"/>
      <c r="B531" s="9"/>
      <c r="C531" s="9"/>
    </row>
    <row r="532">
      <c r="A532" s="8"/>
      <c r="B532" s="9"/>
      <c r="C532" s="9"/>
    </row>
    <row r="533">
      <c r="A533" s="8"/>
      <c r="B533" s="9"/>
      <c r="C533" s="9"/>
    </row>
    <row r="534">
      <c r="A534" s="8"/>
      <c r="B534" s="9"/>
      <c r="C534" s="9"/>
    </row>
    <row r="535">
      <c r="A535" s="8"/>
      <c r="B535" s="9"/>
      <c r="C535" s="9"/>
    </row>
    <row r="536">
      <c r="A536" s="8"/>
      <c r="B536" s="9"/>
      <c r="C536" s="9"/>
    </row>
    <row r="537">
      <c r="A537" s="8"/>
      <c r="B537" s="9"/>
      <c r="C537" s="9"/>
    </row>
    <row r="538">
      <c r="A538" s="8"/>
      <c r="B538" s="9"/>
      <c r="C538" s="9"/>
    </row>
    <row r="539">
      <c r="A539" s="8"/>
      <c r="B539" s="9"/>
      <c r="C539" s="9"/>
    </row>
    <row r="540">
      <c r="A540" s="8"/>
      <c r="B540" s="9"/>
      <c r="C540" s="9"/>
    </row>
    <row r="541">
      <c r="A541" s="8"/>
      <c r="B541" s="9"/>
      <c r="C541" s="9"/>
    </row>
    <row r="542">
      <c r="A542" s="8"/>
      <c r="B542" s="9"/>
      <c r="C542" s="9"/>
    </row>
    <row r="543">
      <c r="A543" s="8"/>
      <c r="B543" s="9"/>
      <c r="C543" s="9"/>
    </row>
    <row r="544">
      <c r="A544" s="8"/>
      <c r="B544" s="9"/>
      <c r="C544" s="9"/>
    </row>
    <row r="545">
      <c r="A545" s="8"/>
      <c r="B545" s="9"/>
      <c r="C545" s="9"/>
    </row>
    <row r="546">
      <c r="A546" s="8"/>
      <c r="B546" s="9"/>
      <c r="C546" s="9"/>
    </row>
    <row r="547">
      <c r="A547" s="8"/>
      <c r="B547" s="9"/>
      <c r="C547" s="9"/>
    </row>
    <row r="548">
      <c r="A548" s="8"/>
      <c r="B548" s="9"/>
      <c r="C548" s="9"/>
    </row>
    <row r="549">
      <c r="A549" s="8"/>
      <c r="B549" s="9"/>
      <c r="C549" s="9"/>
    </row>
    <row r="550">
      <c r="A550" s="8"/>
      <c r="B550" s="9"/>
      <c r="C550" s="9"/>
    </row>
    <row r="551">
      <c r="A551" s="8"/>
      <c r="B551" s="9"/>
      <c r="C551" s="9"/>
    </row>
    <row r="552">
      <c r="A552" s="8"/>
      <c r="B552" s="9"/>
      <c r="C552" s="9"/>
    </row>
    <row r="553">
      <c r="A553" s="8"/>
      <c r="B553" s="9"/>
      <c r="C553" s="9"/>
    </row>
    <row r="554">
      <c r="A554" s="8"/>
      <c r="B554" s="9"/>
      <c r="C554" s="9"/>
    </row>
    <row r="555">
      <c r="A555" s="8"/>
      <c r="B555" s="9"/>
      <c r="C555" s="9"/>
    </row>
    <row r="556">
      <c r="A556" s="8"/>
      <c r="B556" s="9"/>
      <c r="C556" s="9"/>
    </row>
    <row r="557">
      <c r="A557" s="8"/>
      <c r="B557" s="9"/>
      <c r="C557" s="9"/>
    </row>
    <row r="558">
      <c r="A558" s="8"/>
      <c r="B558" s="9"/>
      <c r="C558" s="9"/>
    </row>
    <row r="559">
      <c r="A559" s="8"/>
      <c r="B559" s="9"/>
      <c r="C559" s="9"/>
    </row>
    <row r="560">
      <c r="A560" s="8"/>
      <c r="B560" s="9"/>
      <c r="C560" s="9"/>
    </row>
    <row r="561">
      <c r="A561" s="8"/>
      <c r="B561" s="9"/>
      <c r="C561" s="9"/>
    </row>
    <row r="562">
      <c r="A562" s="8"/>
      <c r="B562" s="9"/>
      <c r="C562" s="9"/>
    </row>
    <row r="563">
      <c r="A563" s="8"/>
      <c r="B563" s="9"/>
      <c r="C563" s="9"/>
    </row>
    <row r="564">
      <c r="A564" s="8"/>
      <c r="B564" s="9"/>
      <c r="C564" s="9"/>
    </row>
    <row r="565">
      <c r="A565" s="8"/>
      <c r="B565" s="9"/>
      <c r="C565" s="9"/>
    </row>
    <row r="566">
      <c r="A566" s="8"/>
      <c r="B566" s="9"/>
      <c r="C566" s="9"/>
    </row>
    <row r="567">
      <c r="A567" s="8"/>
      <c r="B567" s="9"/>
      <c r="C567" s="9"/>
    </row>
    <row r="568">
      <c r="A568" s="8"/>
      <c r="B568" s="9"/>
      <c r="C568" s="9"/>
    </row>
    <row r="569">
      <c r="A569" s="8"/>
      <c r="B569" s="9"/>
      <c r="C569" s="9"/>
    </row>
    <row r="570">
      <c r="A570" s="8"/>
      <c r="B570" s="9"/>
      <c r="C570" s="9"/>
    </row>
    <row r="571">
      <c r="A571" s="8"/>
      <c r="B571" s="9"/>
      <c r="C571" s="9"/>
    </row>
    <row r="572">
      <c r="A572" s="8"/>
      <c r="B572" s="9"/>
      <c r="C572" s="9"/>
    </row>
    <row r="573">
      <c r="A573" s="8"/>
      <c r="B573" s="9"/>
      <c r="C573" s="9"/>
    </row>
    <row r="574">
      <c r="A574" s="8"/>
      <c r="B574" s="9"/>
      <c r="C574" s="9"/>
    </row>
    <row r="575">
      <c r="A575" s="8"/>
      <c r="B575" s="9"/>
      <c r="C575" s="9"/>
    </row>
    <row r="576">
      <c r="A576" s="8"/>
      <c r="B576" s="9"/>
      <c r="C576" s="9"/>
    </row>
    <row r="577">
      <c r="A577" s="8"/>
      <c r="B577" s="9"/>
      <c r="C577" s="9"/>
    </row>
    <row r="578">
      <c r="A578" s="8"/>
      <c r="B578" s="9"/>
      <c r="C578" s="9"/>
    </row>
    <row r="579">
      <c r="A579" s="8"/>
      <c r="B579" s="9"/>
      <c r="C579" s="9"/>
    </row>
    <row r="580">
      <c r="A580" s="8"/>
      <c r="B580" s="9"/>
      <c r="C580" s="9"/>
    </row>
    <row r="581">
      <c r="A581" s="8"/>
      <c r="B581" s="9"/>
      <c r="C581" s="9"/>
    </row>
    <row r="582">
      <c r="A582" s="8"/>
      <c r="B582" s="9"/>
      <c r="C582" s="9"/>
    </row>
    <row r="583">
      <c r="A583" s="8"/>
      <c r="B583" s="9"/>
      <c r="C583" s="9"/>
    </row>
    <row r="584">
      <c r="A584" s="8"/>
      <c r="B584" s="9"/>
      <c r="C584" s="9"/>
    </row>
    <row r="585">
      <c r="A585" s="8"/>
      <c r="B585" s="9"/>
      <c r="C585" s="9"/>
    </row>
    <row r="586">
      <c r="A586" s="8"/>
      <c r="B586" s="9"/>
      <c r="C586" s="9"/>
    </row>
    <row r="587">
      <c r="A587" s="8"/>
      <c r="B587" s="9"/>
      <c r="C587" s="9"/>
    </row>
    <row r="588">
      <c r="A588" s="8"/>
      <c r="B588" s="9"/>
      <c r="C588" s="9"/>
    </row>
    <row r="589">
      <c r="A589" s="8"/>
      <c r="B589" s="9"/>
      <c r="C589" s="9"/>
    </row>
    <row r="590">
      <c r="A590" s="8"/>
      <c r="B590" s="9"/>
      <c r="C590" s="9"/>
    </row>
    <row r="591">
      <c r="A591" s="8"/>
      <c r="B591" s="9"/>
      <c r="C591" s="9"/>
    </row>
    <row r="592">
      <c r="A592" s="8"/>
      <c r="B592" s="9"/>
      <c r="C592" s="9"/>
    </row>
    <row r="593">
      <c r="A593" s="8"/>
      <c r="B593" s="9"/>
      <c r="C593" s="9"/>
    </row>
    <row r="594">
      <c r="A594" s="8"/>
      <c r="B594" s="9"/>
      <c r="C594" s="9"/>
    </row>
    <row r="595">
      <c r="A595" s="8"/>
      <c r="B595" s="9"/>
      <c r="C595" s="9"/>
    </row>
    <row r="596">
      <c r="A596" s="8"/>
      <c r="B596" s="9"/>
      <c r="C596" s="9"/>
    </row>
    <row r="597">
      <c r="A597" s="8"/>
      <c r="B597" s="9"/>
      <c r="C597" s="9"/>
    </row>
    <row r="598">
      <c r="A598" s="8"/>
      <c r="B598" s="9"/>
      <c r="C598" s="9"/>
    </row>
    <row r="599">
      <c r="A599" s="8"/>
      <c r="B599" s="9"/>
      <c r="C599" s="9"/>
    </row>
    <row r="600">
      <c r="A600" s="8"/>
      <c r="B600" s="9"/>
      <c r="C600" s="9"/>
    </row>
    <row r="601">
      <c r="A601" s="8"/>
      <c r="B601" s="9"/>
      <c r="C601" s="9"/>
    </row>
    <row r="602">
      <c r="A602" s="8"/>
      <c r="B602" s="9"/>
      <c r="C602" s="9"/>
    </row>
    <row r="603">
      <c r="A603" s="8"/>
      <c r="B603" s="9"/>
      <c r="C603" s="9"/>
    </row>
    <row r="604">
      <c r="A604" s="8"/>
      <c r="B604" s="9"/>
      <c r="C604" s="9"/>
    </row>
    <row r="605">
      <c r="A605" s="8"/>
      <c r="B605" s="9"/>
      <c r="C605" s="9"/>
    </row>
    <row r="606">
      <c r="A606" s="8"/>
      <c r="B606" s="9"/>
      <c r="C606" s="9"/>
    </row>
    <row r="607">
      <c r="A607" s="8"/>
      <c r="B607" s="9"/>
      <c r="C607" s="9"/>
    </row>
    <row r="608">
      <c r="A608" s="8"/>
      <c r="B608" s="9"/>
      <c r="C608" s="9"/>
    </row>
    <row r="609">
      <c r="A609" s="8"/>
      <c r="B609" s="9"/>
      <c r="C609" s="9"/>
    </row>
    <row r="610">
      <c r="A610" s="8"/>
      <c r="B610" s="9"/>
      <c r="C610" s="9"/>
    </row>
    <row r="611">
      <c r="A611" s="8"/>
      <c r="B611" s="9"/>
      <c r="C611" s="9"/>
    </row>
    <row r="612">
      <c r="A612" s="8"/>
      <c r="B612" s="9"/>
      <c r="C612" s="9"/>
    </row>
    <row r="613">
      <c r="A613" s="8"/>
      <c r="B613" s="9"/>
      <c r="C613" s="9"/>
    </row>
    <row r="614">
      <c r="A614" s="8"/>
      <c r="B614" s="9"/>
      <c r="C614" s="9"/>
    </row>
    <row r="615">
      <c r="A615" s="8"/>
      <c r="B615" s="9"/>
      <c r="C615" s="9"/>
    </row>
    <row r="616">
      <c r="A616" s="8"/>
      <c r="B616" s="9"/>
      <c r="C616" s="9"/>
    </row>
    <row r="617">
      <c r="A617" s="8"/>
      <c r="B617" s="9"/>
      <c r="C617" s="9"/>
    </row>
    <row r="618">
      <c r="A618" s="8"/>
      <c r="B618" s="9"/>
      <c r="C618" s="9"/>
    </row>
    <row r="619">
      <c r="A619" s="8"/>
      <c r="B619" s="9"/>
      <c r="C619" s="9"/>
    </row>
    <row r="620">
      <c r="A620" s="8"/>
      <c r="B620" s="9"/>
      <c r="C620" s="9"/>
    </row>
    <row r="621">
      <c r="A621" s="8"/>
      <c r="B621" s="9"/>
      <c r="C621" s="9"/>
    </row>
    <row r="622">
      <c r="A622" s="8"/>
      <c r="B622" s="9"/>
      <c r="C622" s="9"/>
    </row>
    <row r="623">
      <c r="A623" s="8"/>
      <c r="B623" s="9"/>
      <c r="C623" s="9"/>
    </row>
    <row r="624">
      <c r="A624" s="8"/>
      <c r="B624" s="9"/>
      <c r="C624" s="9"/>
    </row>
    <row r="625">
      <c r="A625" s="8"/>
      <c r="B625" s="9"/>
      <c r="C625" s="9"/>
    </row>
    <row r="626">
      <c r="A626" s="8"/>
      <c r="B626" s="9"/>
      <c r="C626" s="9"/>
    </row>
    <row r="627">
      <c r="A627" s="8"/>
      <c r="B627" s="9"/>
      <c r="C627" s="9"/>
    </row>
    <row r="628">
      <c r="A628" s="8"/>
      <c r="B628" s="9"/>
      <c r="C628" s="9"/>
    </row>
    <row r="629">
      <c r="A629" s="8"/>
      <c r="B629" s="9"/>
      <c r="C629" s="9"/>
    </row>
    <row r="630">
      <c r="A630" s="8"/>
      <c r="B630" s="9"/>
      <c r="C630" s="9"/>
    </row>
    <row r="631">
      <c r="A631" s="8"/>
      <c r="B631" s="9"/>
      <c r="C631" s="9"/>
    </row>
    <row r="632">
      <c r="A632" s="8"/>
      <c r="B632" s="9"/>
      <c r="C632" s="9"/>
    </row>
    <row r="633">
      <c r="A633" s="8"/>
      <c r="B633" s="9"/>
      <c r="C633" s="9"/>
    </row>
    <row r="634">
      <c r="A634" s="8"/>
      <c r="B634" s="9"/>
      <c r="C634" s="9"/>
    </row>
    <row r="635">
      <c r="A635" s="8"/>
      <c r="B635" s="9"/>
      <c r="C635" s="9"/>
    </row>
    <row r="636">
      <c r="A636" s="8"/>
      <c r="B636" s="9"/>
      <c r="C636" s="9"/>
    </row>
    <row r="637">
      <c r="A637" s="8"/>
      <c r="B637" s="9"/>
      <c r="C637" s="9"/>
    </row>
    <row r="638">
      <c r="A638" s="8"/>
      <c r="B638" s="9"/>
      <c r="C638" s="9"/>
    </row>
    <row r="639">
      <c r="A639" s="8"/>
      <c r="B639" s="9"/>
      <c r="C639" s="9"/>
    </row>
    <row r="640">
      <c r="A640" s="8"/>
      <c r="B640" s="9"/>
      <c r="C640" s="9"/>
    </row>
    <row r="641">
      <c r="A641" s="8"/>
      <c r="B641" s="9"/>
      <c r="C641" s="9"/>
    </row>
    <row r="642">
      <c r="A642" s="8"/>
      <c r="B642" s="9"/>
      <c r="C642" s="9"/>
    </row>
    <row r="643">
      <c r="A643" s="8"/>
      <c r="B643" s="9"/>
      <c r="C643" s="9"/>
    </row>
    <row r="644">
      <c r="A644" s="8"/>
      <c r="B644" s="9"/>
      <c r="C644" s="9"/>
    </row>
    <row r="645">
      <c r="A645" s="8"/>
      <c r="B645" s="9"/>
      <c r="C645" s="9"/>
    </row>
    <row r="646">
      <c r="A646" s="8"/>
      <c r="B646" s="9"/>
      <c r="C646" s="9"/>
    </row>
    <row r="647">
      <c r="A647" s="8"/>
      <c r="B647" s="9"/>
      <c r="C647" s="9"/>
    </row>
    <row r="648">
      <c r="A648" s="8"/>
      <c r="B648" s="9"/>
      <c r="C648" s="9"/>
    </row>
    <row r="649">
      <c r="A649" s="8"/>
      <c r="B649" s="9"/>
      <c r="C649" s="9"/>
    </row>
    <row r="650">
      <c r="A650" s="8"/>
      <c r="B650" s="9"/>
      <c r="C650" s="9"/>
    </row>
    <row r="651">
      <c r="A651" s="8"/>
      <c r="B651" s="9"/>
      <c r="C651" s="9"/>
    </row>
    <row r="652">
      <c r="A652" s="8"/>
      <c r="B652" s="9"/>
      <c r="C652" s="9"/>
    </row>
    <row r="653">
      <c r="A653" s="8"/>
      <c r="B653" s="9"/>
      <c r="C653" s="9"/>
    </row>
    <row r="654">
      <c r="A654" s="8"/>
      <c r="B654" s="9"/>
      <c r="C654" s="9"/>
    </row>
    <row r="655">
      <c r="A655" s="8"/>
      <c r="B655" s="9"/>
      <c r="C655" s="9"/>
    </row>
    <row r="656">
      <c r="A656" s="8"/>
      <c r="B656" s="9"/>
      <c r="C656" s="9"/>
    </row>
    <row r="657">
      <c r="A657" s="8"/>
      <c r="B657" s="9"/>
      <c r="C657" s="9"/>
    </row>
    <row r="658">
      <c r="A658" s="8"/>
      <c r="B658" s="9"/>
      <c r="C658" s="9"/>
    </row>
    <row r="659">
      <c r="A659" s="8"/>
      <c r="B659" s="9"/>
      <c r="C659" s="9"/>
    </row>
    <row r="660">
      <c r="A660" s="8"/>
      <c r="B660" s="9"/>
      <c r="C660" s="9"/>
    </row>
    <row r="661">
      <c r="A661" s="8"/>
      <c r="B661" s="9"/>
      <c r="C661" s="9"/>
    </row>
    <row r="662">
      <c r="A662" s="8"/>
      <c r="B662" s="9"/>
      <c r="C662" s="9"/>
    </row>
    <row r="663">
      <c r="A663" s="8"/>
      <c r="B663" s="9"/>
      <c r="C663" s="9"/>
    </row>
    <row r="664">
      <c r="A664" s="8"/>
      <c r="B664" s="9"/>
      <c r="C664" s="9"/>
    </row>
    <row r="665">
      <c r="A665" s="8"/>
      <c r="B665" s="9"/>
      <c r="C665" s="9"/>
    </row>
    <row r="666">
      <c r="A666" s="8"/>
      <c r="B666" s="9"/>
      <c r="C666" s="9"/>
    </row>
    <row r="667">
      <c r="A667" s="8"/>
      <c r="B667" s="9"/>
      <c r="C667" s="9"/>
    </row>
    <row r="668">
      <c r="A668" s="8"/>
      <c r="B668" s="9"/>
      <c r="C668" s="9"/>
    </row>
    <row r="669">
      <c r="A669" s="8"/>
      <c r="B669" s="9"/>
      <c r="C669" s="9"/>
    </row>
    <row r="670">
      <c r="A670" s="8"/>
      <c r="B670" s="9"/>
      <c r="C670" s="9"/>
    </row>
    <row r="671">
      <c r="A671" s="8"/>
      <c r="B671" s="9"/>
      <c r="C671" s="9"/>
    </row>
    <row r="672">
      <c r="A672" s="8"/>
      <c r="B672" s="9"/>
      <c r="C672" s="9"/>
    </row>
    <row r="673">
      <c r="A673" s="8"/>
      <c r="B673" s="9"/>
      <c r="C673" s="9"/>
    </row>
    <row r="674">
      <c r="A674" s="8"/>
      <c r="B674" s="9"/>
      <c r="C674" s="9"/>
    </row>
    <row r="675">
      <c r="A675" s="8"/>
      <c r="B675" s="9"/>
      <c r="C675" s="9"/>
    </row>
    <row r="676">
      <c r="A676" s="8"/>
      <c r="B676" s="9"/>
      <c r="C676" s="9"/>
    </row>
    <row r="677">
      <c r="A677" s="8"/>
      <c r="B677" s="9"/>
      <c r="C677" s="9"/>
    </row>
    <row r="678">
      <c r="A678" s="8"/>
      <c r="B678" s="9"/>
      <c r="C678" s="9"/>
    </row>
    <row r="679">
      <c r="A679" s="8"/>
      <c r="B679" s="9"/>
      <c r="C679" s="9"/>
    </row>
    <row r="680">
      <c r="A680" s="8"/>
      <c r="B680" s="9"/>
      <c r="C680" s="9"/>
    </row>
    <row r="681">
      <c r="A681" s="8"/>
      <c r="B681" s="9"/>
      <c r="C681" s="9"/>
    </row>
    <row r="682">
      <c r="A682" s="8"/>
      <c r="B682" s="9"/>
      <c r="C682" s="9"/>
    </row>
    <row r="683">
      <c r="A683" s="8"/>
      <c r="B683" s="9"/>
      <c r="C683" s="9"/>
    </row>
    <row r="684">
      <c r="A684" s="8"/>
      <c r="B684" s="9"/>
      <c r="C684" s="9"/>
    </row>
    <row r="685">
      <c r="A685" s="8"/>
      <c r="B685" s="9"/>
      <c r="C685" s="9"/>
    </row>
    <row r="686">
      <c r="A686" s="8"/>
      <c r="B686" s="9"/>
      <c r="C686" s="9"/>
    </row>
    <row r="687">
      <c r="A687" s="8"/>
      <c r="B687" s="9"/>
      <c r="C687" s="9"/>
    </row>
    <row r="688">
      <c r="A688" s="8"/>
      <c r="B688" s="9"/>
      <c r="C688" s="9"/>
    </row>
    <row r="689">
      <c r="A689" s="8"/>
      <c r="B689" s="9"/>
      <c r="C689" s="9"/>
    </row>
    <row r="690">
      <c r="A690" s="8"/>
      <c r="B690" s="9"/>
      <c r="C690" s="9"/>
    </row>
    <row r="691">
      <c r="A691" s="8"/>
      <c r="B691" s="9"/>
      <c r="C691" s="9"/>
    </row>
    <row r="692">
      <c r="A692" s="8"/>
      <c r="B692" s="9"/>
      <c r="C692" s="9"/>
    </row>
    <row r="693">
      <c r="A693" s="8"/>
      <c r="B693" s="9"/>
      <c r="C693" s="9"/>
    </row>
    <row r="694">
      <c r="A694" s="8"/>
      <c r="B694" s="9"/>
      <c r="C694" s="9"/>
    </row>
    <row r="695">
      <c r="A695" s="8"/>
      <c r="B695" s="9"/>
      <c r="C695" s="9"/>
    </row>
    <row r="696">
      <c r="A696" s="8"/>
      <c r="B696" s="9"/>
      <c r="C696" s="9"/>
    </row>
    <row r="697">
      <c r="A697" s="8"/>
      <c r="B697" s="9"/>
      <c r="C697" s="9"/>
    </row>
    <row r="698">
      <c r="A698" s="8"/>
      <c r="B698" s="9"/>
      <c r="C698" s="9"/>
    </row>
    <row r="699">
      <c r="A699" s="8"/>
      <c r="B699" s="9"/>
      <c r="C699" s="9"/>
    </row>
    <row r="700">
      <c r="A700" s="8"/>
      <c r="B700" s="9"/>
      <c r="C700" s="9"/>
    </row>
    <row r="701">
      <c r="A701" s="8"/>
      <c r="B701" s="9"/>
      <c r="C701" s="9"/>
    </row>
    <row r="702">
      <c r="A702" s="16"/>
      <c r="B702" s="9"/>
      <c r="C702" s="9"/>
    </row>
    <row r="703">
      <c r="A703" s="16"/>
      <c r="B703" s="9"/>
      <c r="C703" s="9"/>
    </row>
    <row r="704">
      <c r="A704" s="16"/>
      <c r="B704" s="9"/>
      <c r="C704" s="9"/>
    </row>
    <row r="705">
      <c r="A705" s="16"/>
      <c r="B705" s="9"/>
      <c r="C705" s="9"/>
    </row>
    <row r="706">
      <c r="A706" s="16"/>
      <c r="B706" s="9"/>
      <c r="C706" s="9"/>
    </row>
    <row r="707">
      <c r="A707" s="16"/>
      <c r="B707" s="9"/>
      <c r="C707" s="9"/>
    </row>
    <row r="708">
      <c r="A708" s="16"/>
      <c r="B708" s="9"/>
      <c r="C708" s="9"/>
    </row>
    <row r="709">
      <c r="A709" s="16"/>
      <c r="B709" s="9"/>
      <c r="C709" s="9"/>
    </row>
    <row r="710">
      <c r="A710" s="16"/>
      <c r="B710" s="9"/>
      <c r="C710" s="9"/>
    </row>
    <row r="711">
      <c r="A711" s="8"/>
      <c r="B711" s="9"/>
      <c r="C711" s="9"/>
    </row>
    <row r="712">
      <c r="A712" s="16"/>
      <c r="B712" s="9"/>
      <c r="C712" s="9"/>
    </row>
    <row r="713">
      <c r="A713" s="16"/>
      <c r="B713" s="9"/>
      <c r="C713" s="9"/>
    </row>
    <row r="714">
      <c r="A714" s="16"/>
      <c r="B714" s="9"/>
      <c r="C714" s="9"/>
    </row>
    <row r="715">
      <c r="A715" s="16"/>
      <c r="B715" s="9"/>
      <c r="C715" s="9"/>
    </row>
    <row r="716">
      <c r="A716" s="8"/>
      <c r="B716" s="9"/>
      <c r="C716" s="9"/>
    </row>
    <row r="717">
      <c r="A717" s="8"/>
      <c r="B717" s="9"/>
      <c r="C717" s="9"/>
    </row>
    <row r="718">
      <c r="A718" s="8"/>
      <c r="B718" s="9"/>
      <c r="C718" s="9"/>
    </row>
    <row r="719">
      <c r="A719" s="8"/>
      <c r="B719" s="9"/>
      <c r="C719" s="9"/>
    </row>
    <row r="720">
      <c r="A720" s="8"/>
      <c r="B720" s="9"/>
      <c r="C720" s="9"/>
    </row>
    <row r="721">
      <c r="A721" s="17"/>
      <c r="B721" s="9"/>
      <c r="C721" s="9"/>
    </row>
    <row r="722">
      <c r="A722" s="17"/>
      <c r="B722" s="9"/>
      <c r="C722" s="9"/>
    </row>
    <row r="723">
      <c r="A723" s="17"/>
      <c r="B723" s="9"/>
      <c r="C723" s="9"/>
    </row>
    <row r="724">
      <c r="A724" s="17"/>
      <c r="B724" s="9"/>
      <c r="C724" s="9"/>
    </row>
    <row r="725">
      <c r="A725" s="17"/>
      <c r="B725" s="9"/>
      <c r="C725" s="9"/>
    </row>
    <row r="726">
      <c r="A726" s="17"/>
      <c r="B726" s="9"/>
      <c r="C726" s="9"/>
    </row>
    <row r="727">
      <c r="A727" s="17"/>
      <c r="B727" s="9"/>
      <c r="C727" s="9"/>
    </row>
    <row r="728">
      <c r="A728" s="17"/>
      <c r="B728" s="9"/>
      <c r="C728" s="9"/>
    </row>
    <row r="729">
      <c r="A729" s="17"/>
      <c r="B729" s="9"/>
      <c r="C729" s="9"/>
    </row>
    <row r="730">
      <c r="A730" s="17"/>
      <c r="B730" s="9"/>
      <c r="C730" s="9"/>
    </row>
    <row r="731">
      <c r="A731" s="17"/>
      <c r="B731" s="9"/>
      <c r="C731" s="9"/>
    </row>
    <row r="732">
      <c r="A732" s="17"/>
      <c r="B732" s="9"/>
      <c r="C732" s="9"/>
    </row>
    <row r="733">
      <c r="A733" s="17"/>
      <c r="B733" s="9"/>
      <c r="C733" s="9"/>
    </row>
    <row r="734">
      <c r="A734" s="17"/>
      <c r="B734" s="9"/>
      <c r="C734" s="9"/>
    </row>
    <row r="735">
      <c r="A735" s="17"/>
      <c r="B735" s="9"/>
      <c r="C735" s="9"/>
    </row>
    <row r="736">
      <c r="A736" s="17"/>
      <c r="B736" s="9"/>
      <c r="C736" s="9"/>
    </row>
    <row r="737">
      <c r="A737" s="17"/>
      <c r="B737" s="9"/>
      <c r="C737" s="9"/>
    </row>
    <row r="738">
      <c r="A738" s="17"/>
      <c r="B738" s="9"/>
      <c r="C738" s="9"/>
    </row>
    <row r="739">
      <c r="A739" s="17"/>
      <c r="B739" s="9"/>
      <c r="C739" s="9"/>
    </row>
    <row r="740">
      <c r="A740" s="17"/>
      <c r="B740" s="9"/>
      <c r="C740" s="9"/>
    </row>
    <row r="741">
      <c r="A741" s="17"/>
      <c r="B741" s="9"/>
      <c r="C741" s="9"/>
    </row>
    <row r="742">
      <c r="A742" s="17"/>
      <c r="B742" s="9"/>
      <c r="C742" s="9"/>
    </row>
    <row r="743">
      <c r="A743" s="17"/>
      <c r="B743" s="9"/>
      <c r="C743" s="9"/>
    </row>
    <row r="744">
      <c r="A744" s="17"/>
      <c r="B744" s="9"/>
      <c r="C744" s="9"/>
    </row>
    <row r="745">
      <c r="A745" s="17"/>
      <c r="B745" s="9"/>
      <c r="C745" s="9"/>
    </row>
    <row r="746">
      <c r="A746" s="17"/>
      <c r="B746" s="9"/>
      <c r="C746" s="9"/>
    </row>
    <row r="747">
      <c r="A747" s="17"/>
      <c r="B747" s="9"/>
      <c r="C747" s="9"/>
    </row>
    <row r="748">
      <c r="A748" s="17"/>
      <c r="B748" s="9"/>
      <c r="C748" s="9"/>
    </row>
    <row r="749">
      <c r="A749" s="17"/>
      <c r="B749" s="9"/>
      <c r="C749" s="9"/>
    </row>
    <row r="750">
      <c r="A750" s="17"/>
      <c r="B750" s="9"/>
      <c r="C750" s="9"/>
    </row>
    <row r="751">
      <c r="A751" s="17"/>
      <c r="B751" s="9"/>
      <c r="C751" s="9"/>
    </row>
    <row r="752">
      <c r="A752" s="17"/>
      <c r="B752" s="9"/>
      <c r="C752" s="9"/>
    </row>
    <row r="753">
      <c r="A753" s="17"/>
      <c r="B753" s="9"/>
      <c r="C753" s="9"/>
    </row>
    <row r="754">
      <c r="A754" s="17"/>
      <c r="B754" s="9"/>
      <c r="C754" s="9"/>
    </row>
    <row r="755">
      <c r="A755" s="17"/>
      <c r="B755" s="9"/>
      <c r="C755" s="9"/>
    </row>
    <row r="756">
      <c r="A756" s="17"/>
      <c r="B756" s="9"/>
      <c r="C756" s="9"/>
    </row>
    <row r="757">
      <c r="A757" s="17"/>
      <c r="B757" s="9"/>
      <c r="C757" s="9"/>
    </row>
    <row r="758">
      <c r="A758" s="17"/>
      <c r="B758" s="9"/>
      <c r="C758" s="9"/>
    </row>
    <row r="759">
      <c r="A759" s="17"/>
      <c r="B759" s="9"/>
      <c r="C759" s="9"/>
    </row>
    <row r="760">
      <c r="A760" s="17"/>
      <c r="B760" s="9"/>
      <c r="C760" s="9"/>
    </row>
    <row r="761">
      <c r="A761" s="17"/>
      <c r="B761" s="9"/>
      <c r="C761" s="9"/>
    </row>
    <row r="762">
      <c r="A762" s="17"/>
      <c r="B762" s="9"/>
      <c r="C762" s="9"/>
    </row>
    <row r="763">
      <c r="A763" s="17"/>
      <c r="B763" s="9"/>
      <c r="C763" s="9"/>
    </row>
    <row r="764">
      <c r="A764" s="17"/>
      <c r="B764" s="9"/>
      <c r="C764" s="9"/>
    </row>
    <row r="765">
      <c r="A765" s="18"/>
      <c r="B765" s="9"/>
      <c r="C765" s="9"/>
    </row>
    <row r="766">
      <c r="A766" s="17"/>
      <c r="B766" s="9"/>
      <c r="C766" s="9"/>
    </row>
    <row r="767">
      <c r="A767" s="17"/>
      <c r="B767" s="9"/>
      <c r="C767" s="9"/>
    </row>
    <row r="768">
      <c r="A768" s="17"/>
      <c r="B768" s="9"/>
      <c r="C768" s="9"/>
    </row>
    <row r="769">
      <c r="A769" s="17"/>
      <c r="B769" s="9"/>
      <c r="C769" s="9"/>
    </row>
    <row r="770">
      <c r="A770" s="17"/>
      <c r="B770" s="9"/>
      <c r="C770" s="9"/>
    </row>
    <row r="771">
      <c r="A771" s="17"/>
      <c r="B771" s="9"/>
      <c r="C771" s="9"/>
    </row>
    <row r="772">
      <c r="A772" s="17"/>
      <c r="B772" s="9"/>
      <c r="C772" s="9"/>
    </row>
    <row r="773">
      <c r="A773" s="17"/>
      <c r="B773" s="9"/>
      <c r="C773" s="9"/>
    </row>
    <row r="774">
      <c r="A774" s="17"/>
      <c r="B774" s="9"/>
      <c r="C774" s="9"/>
    </row>
    <row r="775">
      <c r="A775" s="17"/>
      <c r="B775" s="9"/>
      <c r="C775" s="9"/>
    </row>
    <row r="776">
      <c r="A776" s="17"/>
      <c r="B776" s="9"/>
      <c r="C776" s="9"/>
    </row>
    <row r="777">
      <c r="A777" s="17"/>
      <c r="B777" s="9"/>
      <c r="C777" s="9"/>
    </row>
    <row r="778">
      <c r="A778" s="17"/>
      <c r="B778" s="9"/>
      <c r="C778" s="9"/>
    </row>
    <row r="779">
      <c r="A779" s="17"/>
      <c r="B779" s="9"/>
      <c r="C779" s="9"/>
    </row>
    <row r="780">
      <c r="A780" s="17"/>
      <c r="B780" s="9"/>
      <c r="C780" s="9"/>
    </row>
    <row r="781">
      <c r="A781" s="17"/>
      <c r="B781" s="9"/>
      <c r="C781" s="9"/>
    </row>
    <row r="782">
      <c r="A782" s="17"/>
      <c r="B782" s="9"/>
      <c r="C782" s="9"/>
    </row>
    <row r="783">
      <c r="A783" s="17"/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  <row r="1001">
      <c r="B1001" s="9"/>
      <c r="C1001" s="9"/>
    </row>
    <row r="1002">
      <c r="B1002" s="9"/>
      <c r="C1002" s="9"/>
    </row>
  </sheetData>
  <dataValidations>
    <dataValidation type="list" allowBlank="1" showErrorMessage="1" sqref="B2:B1002">
      <formula1>"Alakia,Apata,BCT,Bashorun,Eleyele,Felele"</formula1>
    </dataValidation>
    <dataValidation type="list" allowBlank="1" showErrorMessage="1" sqref="C2:C1002">
      <formula1>"In,Out,Returned"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inventory'!D2:D999,'FC inventory'!$A$2:$A999,"&lt;"&amp;$A$1,'FC inventory'!$B$2:$B999,"Apata",'FC inventory'!$C$2:$C999,"In")-sumifs('FC inventory'!D2:D999,'FC inventory'!$A$2:$A999,"&lt;"&amp;$A$1,'FC inventory'!$B$2:$B999,"Apata",'FC inventory'!$C$2:$C999,"Out")+SUMIFS('FC inventory'!D2:D999,'FC inventory'!$A$2:$A999,"&lt;"&amp;$A$1,'FC inventory'!$B$2:$B999,"Apata",'FC inventory'!$C$2:$C999,"Returned")</f>
        <v>6</v>
      </c>
      <c r="C3" s="9">
        <f>sumifs('FC inventory'!E2:E999,'FC inventory'!$A$2:$A999,"&lt;"&amp;$A$1,'FC inventory'!$B$2:$B999,"Apata",'FC inventory'!$C$2:$C999,"In")-sumifs('FC inventory'!E2:E999,'FC inventory'!$A$2:$A999,"&lt;"&amp;$A$1,'FC inventory'!$B$2:$B999,"Apata",'FC inventory'!$C$2:$C999,"Out")+SUMIFS('FC inventory'!E2:E999,'FC inventory'!$A$2:$A999,"&lt;"&amp;$A$1,'FC inventory'!$B$2:$B999,"Apata",'FC inventory'!$C$2:$C999,"Returned")</f>
        <v>0</v>
      </c>
      <c r="D3" s="9">
        <f>sumifs('FC inventory'!F2:F999,'FC inventory'!$A$2:$A999,"&lt;"&amp;$A$1,'FC inventory'!$B$2:$B999,"Apata",'FC inventory'!$C$2:$C999,"In")-sumifs('FC inventory'!F2:F999,'FC inventory'!$A$2:$A999,"&lt;"&amp;$A$1,'FC inventory'!$B$2:$B999,"Apata",'FC inventory'!$C$2:$C999,"Out")+SUMIFS('FC inventory'!F2:F999,'FC inventory'!$A$2:$A999,"&lt;"&amp;$A$1,'FC inventory'!$B$2:$B999,"Apata",'FC inventory'!$C$2:$C999,"Returned")</f>
        <v>1</v>
      </c>
      <c r="E3" s="9">
        <f>sumifs('FC inventory'!G2:G999,'FC inventory'!$A$2:$A999,"&lt;"&amp;$A$1,'FC inventory'!$B$2:$B999,"Apata",'FC inventory'!$C$2:$C999,"In")-sumifs('FC inventory'!G2:G999,'FC inventory'!$A$2:$A999,"&lt;"&amp;$A$1,'FC inventory'!$B$2:$B999,"Apata",'FC inventory'!$C$2:$C999,"Out")+SUMIFS('FC inventory'!G2:G999,'FC inventory'!$A$2:$A999,"&lt;"&amp;$A$1,'FC inventory'!$B$2:$B999,"Apata",'FC inventory'!$C$2:$C999,"Returned")</f>
        <v>3</v>
      </c>
      <c r="F3" s="9">
        <f>sumifs('FC inventory'!H2:H999,'FC inventory'!$A$2:$A999,"&lt;"&amp;$A$1,'FC inventory'!$B$2:$B999,"Apata",'FC inventory'!$C$2:$C999,"In")-sumifs('FC inventory'!H2:H999,'FC inventory'!$A$2:$A999,"&lt;"&amp;$A$1,'FC inventory'!$B$2:$B999,"Apata",'FC inventory'!$C$2:$C999,"Out")+SUMIFS('FC inventory'!H2:H999,'FC inventory'!$A$2:$A999,"&lt;"&amp;$A$1,'FC inventory'!$B$2:$B999,"Apata",'FC inventory'!$C$2:$C999,"Returned")</f>
        <v>0</v>
      </c>
      <c r="G3" s="9">
        <f>sumifs('FC inventory'!I2:I999,'FC inventory'!$A$2:$A999,"&lt;"&amp;$A$1,'FC inventory'!$B$2:$B999,"Apata",'FC inventory'!$C$2:$C999,"In")-sumifs('FC inventory'!I2:I999,'FC inventory'!$A$2:$A999,"&lt;"&amp;$A$1,'FC inventory'!$B$2:$B999,"Apata",'FC inventory'!$C$2:$C999,"Out")+SUMIFS('FC inventory'!I2:I999,'FC inventory'!$A$2:$A999,"&lt;"&amp;$A$1,'FC inventory'!$B$2:$B999,"Apata",'FC inventory'!$C$2:$C999,"Returned")</f>
        <v>56</v>
      </c>
      <c r="H3" s="9">
        <f>sumifs('FC inventory'!J2:J999,'FC inventory'!$A$2:$A999,"&lt;"&amp;$A$1,'FC inventory'!$B$2:$B999,"Apata",'FC inventory'!$C$2:$C999,"In")-sumifs('FC inventory'!J2:J999,'FC inventory'!$A$2:$A999,"&lt;"&amp;$A$1,'FC inventory'!$B$2:$B999,"Apata",'FC inventory'!$C$2:$C999,"Out")+SUMIFS('FC inventory'!J2:J999,'FC inventory'!$A$2:$A999,"&lt;"&amp;$A$1,'FC inventory'!$B$2:$B999,"Apata",'FC inventory'!$C$2:$C999,"Returned")</f>
        <v>0</v>
      </c>
      <c r="I3" s="9">
        <f>sumifs('FC inventory'!K2:K999,'FC inventory'!$A$2:$A999,"&lt;"&amp;$A$1,'FC inventory'!$B$2:$B999,"Apata",'FC inventory'!$C$2:$C999,"In")-sumifs('FC inventory'!K2:K999,'FC inventory'!$A$2:$A999,"&lt;"&amp;$A$1,'FC inventory'!$B$2:$B999,"Apata",'FC inventory'!$C$2:$C999,"Out")+SUMIFS('FC inventory'!K2:K999,'FC inventory'!$A$2:$A999,"&lt;"&amp;$A$1,'FC inventory'!$B$2:$B999,"Apata",'FC inventory'!$C$2:$C999,"Returned")</f>
        <v>0</v>
      </c>
      <c r="J3" s="9">
        <f>sumifs('FC inventory'!L2:L999,'FC inventory'!$A$2:$A999,"&lt;"&amp;$A$1,'FC inventory'!$B$2:$B999,"Apata",'FC inventory'!$C$2:$C999,"In")-sumifs('FC inventory'!L2:L999,'FC inventory'!$A$2:$A999,"&lt;"&amp;$A$1,'FC inventory'!$B$2:$B999,"Apata",'FC inventory'!$C$2:$C999,"Out")+SUMIFS('FC inventory'!L2:L999,'FC inventory'!$A$2:$A999,"&lt;"&amp;$A$1,'FC inventory'!$B$2:$B999,"Apata",'FC inventory'!$C$2:$C999,"Returned")</f>
        <v>0</v>
      </c>
      <c r="K3" s="9">
        <f>sumifs('FC inventory'!M2:M999,'FC inventory'!$A$2:$A999,"&lt;"&amp;$A$1,'FC inventory'!$B$2:$B999,"Apata",'FC inventory'!$C$2:$C999,"In")-sumifs('FC inventory'!M2:M999,'FC inventory'!$A$2:$A999,"&lt;"&amp;$A$1,'FC inventory'!$B$2:$B999,"Apata",'FC inventory'!$C$2:$C999,"Out")+SUMIFS('FC inventory'!M2:M999,'FC inventory'!$A$2:$A999,"&lt;"&amp;$A$1,'FC inventory'!$B$2:$B999,"Apata",'FC inventory'!$C$2:$C999,"Returned")</f>
        <v>0</v>
      </c>
      <c r="L3" s="9">
        <f>sumifs('FC inventory'!N2:N999,'FC inventory'!$A$2:$A999,"&lt;"&amp;$A$1,'FC inventory'!$B$2:$B999,"Apata",'FC inventory'!$C$2:$C999,"In")-sumifs('FC inventory'!N2:N999,'FC inventory'!$A$2:$A999,"&lt;"&amp;$A$1,'FC inventory'!$B$2:$B999,"Apata",'FC inventory'!$C$2:$C999,"Out")+SUMIFS('FC inventory'!N2:N999,'FC inventory'!$A$2:$A999,"&lt;"&amp;$A$1,'FC inventory'!$B$2:$B999,"Apata",'FC inventory'!$C$2:$C999,"Returned")</f>
        <v>1</v>
      </c>
      <c r="M3" s="9">
        <f>sumifs('FC inventory'!O2:O999,'FC inventory'!$A$2:$A999,"&lt;"&amp;$A$1,'FC inventory'!$B$2:$B999,"Apata",'FC inventory'!$C$2:$C999,"In")-sumifs('FC inventory'!O2:O999,'FC inventory'!$A$2:$A999,"&lt;"&amp;$A$1,'FC inventory'!$B$2:$B999,"Apata",'FC inventory'!$C$2:$C999,"Out")+SUMIFS('FC inventory'!O2:O999,'FC inventory'!$A$2:$A999,"&lt;"&amp;$A$1,'FC inventory'!$B$2:$B999,"Apata",'FC inventory'!$C$2:$C999,"Returned")</f>
        <v>2</v>
      </c>
      <c r="N3" s="9">
        <f>sumifs('FC inventory'!P2:P999,'FC inventory'!$A$2:$A999,"&lt;"&amp;$A$1,'FC inventory'!$B$2:$B999,"Apata",'FC inventory'!$C$2:$C999,"In")-sumifs('FC inventory'!P2:P999,'FC inventory'!$A$2:$A999,"&lt;"&amp;$A$1,'FC inventory'!$B$2:$B999,"Apata",'FC inventory'!$C$2:$C999,"Out")+SUMIFS('FC inventory'!P2:P999,'FC inventory'!$A$2:$A999,"&lt;"&amp;$A$1,'FC inventory'!$B$2:$B999,"Apata",'FC inventory'!$C$2:$C999,"Returned")</f>
        <v>0</v>
      </c>
      <c r="O3" s="9">
        <f>sumifs('FC inventory'!Q2:Q999,'FC inventory'!$A$2:$A999,"&lt;"&amp;$A$1,'FC inventory'!$B$2:$B999,"Apata",'FC inventory'!$C$2:$C999,"In")-sumifs('FC inventory'!Q2:Q999,'FC inventory'!$A$2:$A999,"&lt;"&amp;$A$1,'FC inventory'!$B$2:$B999,"Apata",'FC inventory'!$C$2:$C999,"Out")+SUMIFS('FC inventory'!Q2:Q999,'FC inventory'!$A$2:$A999,"&lt;"&amp;$A$1,'FC inventory'!$B$2:$B999,"Apata",'FC inventory'!$C$2:$C999,"Returned")</f>
        <v>11</v>
      </c>
      <c r="P3" s="9">
        <f>sumifs('FC inventory'!R2:R999,'FC inventory'!$A$2:$A999,"&lt;"&amp;$A$1,'FC inventory'!$B$2:$B999,"Apata",'FC inventory'!$C$2:$C999,"In")-sumifs('FC inventory'!R2:R999,'FC inventory'!$A$2:$A999,"&lt;"&amp;$A$1,'FC inventory'!$B$2:$B999,"Apata",'FC inventory'!$C$2:$C999,"Out")+SUMIFS('FC inventory'!R2:R999,'FC inventory'!$A$2:$A999,"&lt;"&amp;$A$1,'FC inventory'!$B$2:$B999,"Apata",'FC inventory'!$C$2:$C999,"Returned")</f>
        <v>8</v>
      </c>
      <c r="Q3" s="9">
        <f>sumifs('FC inventory'!S2:S999,'FC inventory'!$A$2:$A999,"&lt;"&amp;$A$1,'FC inventory'!$B$2:$B999,"Apata",'FC inventory'!$C$2:$C999,"In")-sumifs('FC inventory'!S2:S999,'FC inventory'!$A$2:$A999,"&lt;"&amp;$A$1,'FC inventory'!$B$2:$B999,"Apata",'FC inventory'!$C$2:$C999,"Out")+SUMIFS('FC inventory'!S2:S999,'FC inventory'!$A$2:$A999,"&lt;"&amp;$A$1,'FC inventory'!$B$2:$B999,"Apata",'FC inventory'!$C$2:$C999,"Returned")</f>
        <v>0</v>
      </c>
      <c r="R3" s="9">
        <f>sumifs('FC inventory'!T2:T999,'FC inventory'!$A$2:$A999,"&lt;"&amp;$A$1,'FC inventory'!$B$2:$B999,"Apata",'FC inventory'!$C$2:$C999,"In")-sumifs('FC inventory'!T2:T999,'FC inventory'!$A$2:$A999,"&lt;"&amp;$A$1,'FC inventory'!$B$2:$B999,"Apata",'FC inventory'!$C$2:$C999,"Out")+SUMIFS('FC inventory'!T2:T999,'FC inventory'!$A$2:$A999,"&lt;"&amp;$A$1,'FC inventory'!$B$2:$B999,"Apata",'FC inventory'!$C$2:$C999,"Returned")</f>
        <v>0</v>
      </c>
      <c r="S3" s="9">
        <f>sumifs('FC inventory'!U2:U999,'FC inventory'!$A$2:$A999,"&lt;"&amp;$A$1,'FC inventory'!$B$2:$B999,"Apata",'FC inventory'!$C$2:$C999,"In")-sumifs('FC inventory'!U2:U999,'FC inventory'!$A$2:$A999,"&lt;"&amp;$A$1,'FC inventory'!$B$2:$B999,"Apata",'FC inventory'!$C$2:$C999,"Out")+SUMIFS('FC inventory'!U2:U999,'FC inventory'!$A$2:$A999,"&lt;"&amp;$A$1,'FC inventory'!$B$2:$B999,"Apata",'FC inventory'!$C$2:$C999,"Returned")</f>
        <v>0</v>
      </c>
      <c r="T3" s="9">
        <f>sumifs('FC inventory'!V2:V999,'FC inventory'!$A$2:$A999,"&lt;"&amp;$A$1,'FC inventory'!$B$2:$B999,"Apata",'FC inventory'!$C$2:$C999,"In")-sumifs('FC inventory'!V2:V999,'FC inventory'!$A$2:$A999,"&lt;"&amp;$A$1,'FC inventory'!$B$2:$B999,"Apata",'FC inventory'!$C$2:$C999,"Out")+SUMIFS('FC inventory'!V2:V999,'FC inventory'!$A$2:$A999,"&lt;"&amp;$A$1,'FC inventory'!$B$2:$B999,"Apata",'FC inventory'!$C$2:$C999,"Returned")</f>
        <v>0</v>
      </c>
      <c r="U3" s="9">
        <f>sumifs('FC inventory'!W2:W999,'FC inventory'!$A$2:$A999,"&lt;"&amp;$A$1,'FC inventory'!$B$2:$B999,"Apata",'FC inventory'!$C$2:$C999,"In")-sumifs('FC inventory'!W2:W999,'FC inventory'!$A$2:$A999,"&lt;"&amp;$A$1,'FC inventory'!$B$2:$B999,"Apata",'FC inventory'!$C$2:$C999,"Out")+SUMIFS('FC inventory'!W2:W999,'FC inventory'!$A$2:$A999,"&lt;"&amp;$A$1,'FC inventory'!$B$2:$B999,"Apata",'FC inventory'!$C$2:$C999,"Returned")</f>
        <v>20</v>
      </c>
      <c r="V3" s="9">
        <f>sumifs('FC inventory'!X2:X999,'FC inventory'!$A$2:$A999,"&lt;"&amp;$A$1,'FC inventory'!$B$2:$B999,"Apata",'FC inventory'!$C$2:$C999,"In")-sumifs('FC inventory'!X2:X999,'FC inventory'!$A$2:$A999,"&lt;"&amp;$A$1,'FC inventory'!$B$2:$B999,"Apata",'FC inventory'!$C$2:$C999,"Out")+SUMIFS('FC inventory'!X2:X999,'FC inventory'!$A$2:$A999,"&lt;"&amp;$A$1,'FC inventory'!$B$2:$B999,"Apata",'FC inventory'!$C$2:$C999,"Returned")</f>
        <v>3</v>
      </c>
      <c r="W3" s="9">
        <f>sumifs('FC inventory'!Y2:Y999,'FC inventory'!$A$2:$A999,"&lt;"&amp;$A$1,'FC inventory'!$B$2:$B999,"Apata",'FC inventory'!$C$2:$C999,"In")-sumifs('FC inventory'!Y2:Y999,'FC inventory'!$A$2:$A999,"&lt;"&amp;$A$1,'FC inventory'!$B$2:$B999,"Apata",'FC inventory'!$C$2:$C999,"Out")+SUMIFS('FC inventory'!Y2:Y999,'FC inventory'!$A$2:$A999,"&lt;"&amp;$A$1,'FC inventory'!$B$2:$B999,"Apata",'FC inventory'!$C$2:$C999,"Returned")</f>
        <v>0</v>
      </c>
      <c r="X3" s="9">
        <f>sumifs('FC inventory'!Z2:Z999,'FC inventory'!$A$2:$A999,"&lt;"&amp;$A$1,'FC inventory'!$B$2:$B999,"Apata",'FC inventory'!$C$2:$C999,"In")-sumifs('FC inventory'!Z2:Z999,'FC inventory'!$A$2:$A999,"&lt;"&amp;$A$1,'FC inventory'!$B$2:$B999,"Apata",'FC inventory'!$C$2:$C999,"Out")+SUMIFS('FC inventory'!Z2:Z999,'FC inventory'!$A$2:$A999,"&lt;"&amp;$A$1,'FC inventory'!$B$2:$B999,"Apata",'FC inventory'!$C$2:$C999,"Returned")</f>
        <v>0</v>
      </c>
      <c r="Y3" s="9">
        <f>sumifs('FC inventory'!AA2:AA999,'FC inventory'!$A$2:$A999,"&lt;"&amp;$A$1,'FC inventory'!$B$2:$B999,"Apata",'FC inventory'!$C$2:$C999,"In")-sumifs('FC inventory'!AA2:AA999,'FC inventory'!$A$2:$A999,"&lt;"&amp;$A$1,'FC inventory'!$B$2:$B999,"Apata",'FC inventory'!$C$2:$C999,"Out")+SUMIFS('FC inventory'!AA2:AA999,'FC inventory'!$A$2:$A999,"&lt;"&amp;$A$1,'FC inventory'!$B$2:$B999,"Apata",'FC inventory'!$C$2:$C999,"Returned")</f>
        <v>4</v>
      </c>
      <c r="Z3" s="9">
        <f>sumifs('FC inventory'!AB2:AB999,'FC inventory'!$A$2:$A999,"&lt;"&amp;$A$1,'FC inventory'!$B$2:$B999,"Apata",'FC inventory'!$C$2:$C999,"In")-sumifs('FC inventory'!AB2:AB999,'FC inventory'!$A$2:$A999,"&lt;"&amp;$A$1,'FC inventory'!$B$2:$B999,"Apata",'FC inventory'!$C$2:$C999,"Out")+SUMIFS('FC inventory'!AB2:AB999,'FC inventory'!$A$2:$A999,"&lt;"&amp;$A$1,'FC inventory'!$B$2:$B999,"Apata",'FC inventory'!$C$2:$C999,"Returned")</f>
        <v>0</v>
      </c>
      <c r="AA3" s="9">
        <f>sumifs('FC inventory'!AC2:AC999,'FC inventory'!$A$2:$A999,"&lt;"&amp;$A$1,'FC inventory'!$B$2:$B999,"Apata",'FC inventory'!$C$2:$C999,"In")-sumifs('FC inventory'!AC2:AC999,'FC inventory'!$A$2:$A999,"&lt;"&amp;$A$1,'FC inventory'!$B$2:$B999,"Apata",'FC inventory'!$C$2:$C999,"Out")+SUMIFS('FC inventory'!AC2:AC999,'FC inventory'!$A$2:$A999,"&lt;"&amp;$A$1,'FC inventory'!$B$2:$B999,"Apata",'FC inventory'!$C$2:$C999,"Returned")</f>
        <v>1</v>
      </c>
      <c r="AB3" s="9">
        <f>sumifs('FC inventory'!AD2:AD999,'FC inventory'!$A$2:$A999,"&lt;"&amp;$A$1,'FC inventory'!$B$2:$B999,"Apata",'FC inventory'!$C$2:$C999,"In")-sumifs('FC inventory'!AD2:AD999,'FC inventory'!$A$2:$A999,"&lt;"&amp;$A$1,'FC inventory'!$B$2:$B999,"Apata",'FC inventory'!$C$2:$C999,"Out")+SUMIFS('FC inventory'!AD2:AD999,'FC inventory'!$A$2:$A999,"&lt;"&amp;$A$1,'FC inventory'!$B$2:$B999,"Apata",'FC inventory'!$C$2:$C999,"Returned")</f>
        <v>0</v>
      </c>
      <c r="AC3" s="9">
        <f>sumifs('FC inventory'!AE2:AE999,'FC inventory'!$A$2:$A999,"&lt;"&amp;$A$1,'FC inventory'!$B$2:$B999,"Apata",'FC inventory'!$C$2:$C999,"In")-sumifs('FC inventory'!AE2:AE999,'FC inventory'!$A$2:$A999,"&lt;"&amp;$A$1,'FC inventory'!$B$2:$B999,"Apata",'FC inventory'!$C$2:$C999,"Out")+SUMIFS('FC inventory'!AE2:AE999,'FC inventory'!$A$2:$A999,"&lt;"&amp;$A$1,'FC inventory'!$B$2:$B999,"Apata",'FC inventory'!$C$2:$C999,"Returned")</f>
        <v>0</v>
      </c>
      <c r="AD3" s="9">
        <f>sumifs('FC inventory'!AF2:AF999,'FC inventory'!$A$2:$A999,"&lt;"&amp;$A$1,'FC inventory'!$B$2:$B999,"Apata",'FC inventory'!$C$2:$C999,"In")-sumifs('FC inventory'!AF2:AF999,'FC inventory'!$A$2:$A999,"&lt;"&amp;$A$1,'FC inventory'!$B$2:$B999,"Apata",'FC inventory'!$C$2:$C999,"Out")+SUMIFS('FC inventory'!AF2:AF999,'FC inventory'!$A$2:$A999,"&lt;"&amp;$A$1,'FC inventory'!$B$2:$B999,"Apata",'FC inventory'!$C$2:$C999,"Returned")</f>
        <v>0</v>
      </c>
      <c r="AE3" s="9">
        <f>sumifs('FC inventory'!AG2:AG999,'FC inventory'!$A$2:$A999,"&lt;"&amp;$A$1,'FC inventory'!$B$2:$B999,"Apata",'FC inventory'!$C$2:$C999,"In")-sumifs('FC inventory'!AG2:AG999,'FC inventory'!$A$2:$A999,"&lt;"&amp;$A$1,'FC inventory'!$B$2:$B999,"Apata",'FC inventory'!$C$2:$C999,"Out")+SUMIFS('FC inventory'!AG2:AG999,'FC inventory'!$A$2:$A999,"&lt;"&amp;$A$1,'FC inventory'!$B$2:$B999,"Apata",'FC inventory'!$C$2:$C999,"Returned")</f>
        <v>0</v>
      </c>
      <c r="AF3" s="9">
        <f>sumifs('FC inventory'!AH2:AH999,'FC inventory'!$A$2:$A999,"&lt;"&amp;$A$1,'FC inventory'!$B$2:$B999,"Apata",'FC inventory'!$C$2:$C999,"In")-sumifs('FC inventory'!AH2:AH999,'FC inventory'!$A$2:$A999,"&lt;"&amp;$A$1,'FC inventory'!$B$2:$B999,"Apata",'FC inventory'!$C$2:$C999,"Out")+SUMIFS('FC inventory'!AH2:AH999,'FC inventory'!$A$2:$A999,"&lt;"&amp;$A$1,'FC inventory'!$B$2:$B999,"Apata",'FC inventory'!$C$2:$C999,"Returned")</f>
        <v>0</v>
      </c>
    </row>
    <row r="4">
      <c r="A4" s="20" t="s">
        <v>35</v>
      </c>
      <c r="B4" s="21">
        <f>sumifs('FC inventory'!D2:D999,'FC inventory'!$A$2:$A999,$A$1,'FC inventory'!$B$2:$B999,"Apata",'FC inventory'!$C$2:$C999,"In")</f>
        <v>0</v>
      </c>
      <c r="C4" s="21">
        <f>sumifs('FC inventory'!E2:E999,'FC inventory'!$A$2:$A999,$A$1,'FC inventory'!$B$2:$B999,"Apata",'FC inventory'!$C$2:$C999,"In")</f>
        <v>0</v>
      </c>
      <c r="D4" s="21">
        <f>sumifs('FC inventory'!F2:F999,'FC inventory'!$A$2:$A999,$A$1,'FC inventory'!$B$2:$B999,"Apata",'FC inventory'!$C$2:$C999,"In")</f>
        <v>0</v>
      </c>
      <c r="E4" s="21">
        <f>sumifs('FC inventory'!G2:G999,'FC inventory'!$A$2:$A999,$A$1,'FC inventory'!$B$2:$B999,"Apata",'FC inventory'!$C$2:$C999,"In")</f>
        <v>0</v>
      </c>
      <c r="F4" s="21">
        <f>sumifs('FC inventory'!H2:H999,'FC inventory'!$A$2:$A999,$A$1,'FC inventory'!$B$2:$B999,"Apata",'FC inventory'!$C$2:$C999,"In")</f>
        <v>0</v>
      </c>
      <c r="G4" s="21">
        <f>sumifs('FC inventory'!I2:I999,'FC inventory'!$A$2:$A999,$A$1,'FC inventory'!$B$2:$B999,"Apata",'FC inventory'!$C$2:$C999,"In")</f>
        <v>0</v>
      </c>
      <c r="H4" s="21">
        <f>sumifs('FC inventory'!J2:J999,'FC inventory'!$A$2:$A999,$A$1,'FC inventory'!$B$2:$B999,"Apata",'FC inventory'!$C$2:$C999,"In")</f>
        <v>0</v>
      </c>
      <c r="I4" s="21">
        <f>sumifs('FC inventory'!K2:K999,'FC inventory'!$A$2:$A999,$A$1,'FC inventory'!$B$2:$B999,"Apata",'FC inventory'!$C$2:$C999,"In")</f>
        <v>0</v>
      </c>
      <c r="J4" s="21">
        <f>sumifs('FC inventory'!L2:L999,'FC inventory'!$A$2:$A999,$A$1,'FC inventory'!$B$2:$B999,"Apata",'FC inventory'!$C$2:$C999,"In")</f>
        <v>0</v>
      </c>
      <c r="K4" s="21">
        <f>sumifs('FC inventory'!M2:M999,'FC inventory'!$A$2:$A999,$A$1,'FC inventory'!$B$2:$B999,"Apata",'FC inventory'!$C$2:$C999,"In")</f>
        <v>0</v>
      </c>
      <c r="L4" s="21">
        <f>sumifs('FC inventory'!N2:N999,'FC inventory'!$A$2:$A999,$A$1,'FC inventory'!$B$2:$B999,"Apata",'FC inventory'!$C$2:$C999,"In")</f>
        <v>0</v>
      </c>
      <c r="M4" s="21">
        <f>sumifs('FC inventory'!O2:O999,'FC inventory'!$A$2:$A999,$A$1,'FC inventory'!$B$2:$B999,"Apata",'FC inventory'!$C$2:$C999,"In")</f>
        <v>0</v>
      </c>
      <c r="N4" s="21">
        <f>sumifs('FC inventory'!P2:P999,'FC inventory'!$A$2:$A999,$A$1,'FC inventory'!$B$2:$B999,"Apata",'FC inventory'!$C$2:$C999,"In")</f>
        <v>0</v>
      </c>
      <c r="O4" s="21">
        <f>sumifs('FC inventory'!Q2:Q999,'FC inventory'!$A$2:$A999,$A$1,'FC inventory'!$B$2:$B999,"Apata",'FC inventory'!$C$2:$C999,"In")</f>
        <v>0</v>
      </c>
      <c r="P4" s="21">
        <f>sumifs('FC inventory'!R2:R999,'FC inventory'!$A$2:$A999,$A$1,'FC inventory'!$B$2:$B999,"Apata",'FC inventory'!$C$2:$C999,"In")</f>
        <v>0</v>
      </c>
      <c r="Q4" s="21">
        <f>sumifs('FC inventory'!S2:S999,'FC inventory'!$A$2:$A999,$A$1,'FC inventory'!$B$2:$B999,"Apata",'FC inventory'!$C$2:$C999,"In")</f>
        <v>0</v>
      </c>
      <c r="R4" s="21">
        <f>sumifs('FC inventory'!T2:T999,'FC inventory'!$A$2:$A999,$A$1,'FC inventory'!$B$2:$B999,"Apata",'FC inventory'!$C$2:$C999,"In")</f>
        <v>0</v>
      </c>
      <c r="S4" s="21">
        <f>sumifs('FC inventory'!U2:U999,'FC inventory'!$A$2:$A999,$A$1,'FC inventory'!$B$2:$B999,"Apata",'FC inventory'!$C$2:$C999,"In")</f>
        <v>0</v>
      </c>
      <c r="T4" s="21">
        <f>sumifs('FC inventory'!V2:V999,'FC inventory'!$A$2:$A999,$A$1,'FC inventory'!$B$2:$B999,"Apata",'FC inventory'!$C$2:$C999,"In")</f>
        <v>0</v>
      </c>
      <c r="U4" s="21">
        <f>sumifs('FC inventory'!W2:W999,'FC inventory'!$A$2:$A999,$A$1,'FC inventory'!$B$2:$B999,"Apata",'FC inventory'!$C$2:$C999,"In")</f>
        <v>0</v>
      </c>
      <c r="V4" s="21">
        <f>sumifs('FC inventory'!X2:X999,'FC inventory'!$A$2:$A999,$A$1,'FC inventory'!$B$2:$B999,"Apata",'FC inventory'!$C$2:$C999,"In")</f>
        <v>0</v>
      </c>
      <c r="W4" s="21">
        <f>sumifs('FC inventory'!Y2:Y999,'FC inventory'!$A$2:$A999,$A$1,'FC inventory'!$B$2:$B999,"Apata",'FC inventory'!$C$2:$C999,"In")</f>
        <v>0</v>
      </c>
      <c r="X4" s="21">
        <f>sumifs('FC inventory'!Z2:Z999,'FC inventory'!$A$2:$A999,$A$1,'FC inventory'!$B$2:$B999,"Apata",'FC inventory'!$C$2:$C999,"In")</f>
        <v>0</v>
      </c>
      <c r="Y4" s="21">
        <f>sumifs('FC inventory'!AA2:AA999,'FC inventory'!$A$2:$A999,$A$1,'FC inventory'!$B$2:$B999,"Apata",'FC inventory'!$C$2:$C999,"In")</f>
        <v>0</v>
      </c>
      <c r="Z4" s="21">
        <f>sumifs('FC inventory'!AB2:AB999,'FC inventory'!$A$2:$A999,$A$1,'FC inventory'!$B$2:$B999,"Apata",'FC inventory'!$C$2:$C999,"In")</f>
        <v>0</v>
      </c>
      <c r="AA4" s="21">
        <f>sumifs('FC inventory'!AC2:AC999,'FC inventory'!$A$2:$A999,$A$1,'FC inventory'!$B$2:$B999,"Apata",'FC inventory'!$C$2:$C999,"In")</f>
        <v>0</v>
      </c>
      <c r="AB4" s="21">
        <f>sumifs('FC inventory'!AD2:AD999,'FC inventory'!$A$2:$A999,$A$1,'FC inventory'!$B$2:$B999,"Apata",'FC inventory'!$C$2:$C999,"In")</f>
        <v>0</v>
      </c>
      <c r="AC4" s="21">
        <f>sumifs('FC inventory'!AE2:AE999,'FC inventory'!$A$2:$A999,$A$1,'FC inventory'!$B$2:$B999,"Apata",'FC inventory'!$C$2:$C999,"In")</f>
        <v>0</v>
      </c>
      <c r="AD4" s="21">
        <f>sumifs('FC inventory'!AF2:AF999,'FC inventory'!$A$2:$A999,$A$1,'FC inventory'!$B$2:$B999,"Apata",'FC inventory'!$C$2:$C999,"In")</f>
        <v>0</v>
      </c>
      <c r="AE4" s="21">
        <f>sumifs('FC inventory'!AG2:AG999,'FC inventory'!$A$2:$A999,$A$1,'FC inventory'!$B$2:$B999,"Apata",'FC inventory'!$C$2:$C999,"In")</f>
        <v>0</v>
      </c>
      <c r="AF4" s="21">
        <f>sumifs('FC inventory'!AH2:AH999,'FC inventory'!$A$2:$A999,$A$1,'FC inventory'!$B$2:$B999,"Apata",'FC inventory'!$C$2:$C999,"In")</f>
        <v>0</v>
      </c>
    </row>
    <row r="5">
      <c r="A5" s="22" t="s">
        <v>38</v>
      </c>
      <c r="B5" s="21">
        <f>sumifs('FC inventory'!D2:D999,'FC inventory'!$A$2:$A999,$A$1,'FC inventory'!$B$2:$B999,"Apata",'FC inventory'!$C$2:$C999,"Out")</f>
        <v>0</v>
      </c>
      <c r="C5" s="21">
        <f>sumifs('FC inventory'!E2:E999,'FC inventory'!$A$2:$A999,$A$1,'FC inventory'!$B$2:$B999,"Apata",'FC inventory'!$C$2:$C999,"Out")</f>
        <v>0</v>
      </c>
      <c r="D5" s="21">
        <f>sumifs('FC inventory'!F2:F999,'FC inventory'!$A$2:$A999,$A$1,'FC inventory'!$B$2:$B999,"Apata",'FC inventory'!$C$2:$C999,"Out")</f>
        <v>0</v>
      </c>
      <c r="E5" s="21">
        <f>sumifs('FC inventory'!G2:G999,'FC inventory'!$A$2:$A999,$A$1,'FC inventory'!$B$2:$B999,"Apata",'FC inventory'!$C$2:$C999,"Out")</f>
        <v>0</v>
      </c>
      <c r="F5" s="21">
        <f>sumifs('FC inventory'!H2:H999,'FC inventory'!$A$2:$A999,$A$1,'FC inventory'!$B$2:$B999,"Apata",'FC inventory'!$C$2:$C999,"Out")</f>
        <v>0</v>
      </c>
      <c r="G5" s="21">
        <f>sumifs('FC inventory'!I2:I999,'FC inventory'!$A$2:$A999,$A$1,'FC inventory'!$B$2:$B999,"Apata",'FC inventory'!$C$2:$C999,"Out")</f>
        <v>0</v>
      </c>
      <c r="H5" s="21">
        <f>sumifs('FC inventory'!J2:J999,'FC inventory'!$A$2:$A999,$A$1,'FC inventory'!$B$2:$B999,"Apata",'FC inventory'!$C$2:$C999,"Out")</f>
        <v>0</v>
      </c>
      <c r="I5" s="21">
        <f>sumifs('FC inventory'!K2:K999,'FC inventory'!$A$2:$A999,$A$1,'FC inventory'!$B$2:$B999,"Apata",'FC inventory'!$C$2:$C999,"Out")</f>
        <v>0</v>
      </c>
      <c r="J5" s="21">
        <f>sumifs('FC inventory'!L2:L999,'FC inventory'!$A$2:$A999,$A$1,'FC inventory'!$B$2:$B999,"Apata",'FC inventory'!$C$2:$C999,"Out")</f>
        <v>0</v>
      </c>
      <c r="K5" s="21">
        <f>sumifs('FC inventory'!M2:M999,'FC inventory'!$A$2:$A999,$A$1,'FC inventory'!$B$2:$B999,"Apata",'FC inventory'!$C$2:$C999,"Out")</f>
        <v>0</v>
      </c>
      <c r="L5" s="21">
        <f>sumifs('FC inventory'!N2:N999,'FC inventory'!$A$2:$A999,$A$1,'FC inventory'!$B$2:$B999,"Apata",'FC inventory'!$C$2:$C999,"Out")</f>
        <v>0</v>
      </c>
      <c r="M5" s="21">
        <f>sumifs('FC inventory'!O2:O999,'FC inventory'!$A$2:$A999,$A$1,'FC inventory'!$B$2:$B999,"Apata",'FC inventory'!$C$2:$C999,"Out")</f>
        <v>0</v>
      </c>
      <c r="N5" s="21">
        <f>sumifs('FC inventory'!P2:P999,'FC inventory'!$A$2:$A999,$A$1,'FC inventory'!$B$2:$B999,"Apata",'FC inventory'!$C$2:$C999,"Out")</f>
        <v>0</v>
      </c>
      <c r="O5" s="21">
        <f>sumifs('FC inventory'!Q2:Q999,'FC inventory'!$A$2:$A999,$A$1,'FC inventory'!$B$2:$B999,"Apata",'FC inventory'!$C$2:$C999,"Out")</f>
        <v>0</v>
      </c>
      <c r="P5" s="21">
        <f>sumifs('FC inventory'!R2:R999,'FC inventory'!$A$2:$A999,$A$1,'FC inventory'!$B$2:$B999,"Apata",'FC inventory'!$C$2:$C999,"Out")</f>
        <v>0</v>
      </c>
      <c r="Q5" s="21">
        <f>sumifs('FC inventory'!S2:S999,'FC inventory'!$A$2:$A999,$A$1,'FC inventory'!$B$2:$B999,"Apata",'FC inventory'!$C$2:$C999,"Out")</f>
        <v>0</v>
      </c>
      <c r="R5" s="21">
        <f>sumifs('FC inventory'!T2:T999,'FC inventory'!$A$2:$A999,$A$1,'FC inventory'!$B$2:$B999,"Apata",'FC inventory'!$C$2:$C999,"Out")</f>
        <v>0</v>
      </c>
      <c r="S5" s="21">
        <f>sumifs('FC inventory'!U2:U999,'FC inventory'!$A$2:$A999,$A$1,'FC inventory'!$B$2:$B999,"Apata",'FC inventory'!$C$2:$C999,"Out")</f>
        <v>0</v>
      </c>
      <c r="T5" s="21">
        <f>sumifs('FC inventory'!V2:V999,'FC inventory'!$A$2:$A999,$A$1,'FC inventory'!$B$2:$B999,"Apata",'FC inventory'!$C$2:$C999,"Out")</f>
        <v>0</v>
      </c>
      <c r="U5" s="21">
        <f>sumifs('FC inventory'!W2:W999,'FC inventory'!$A$2:$A999,$A$1,'FC inventory'!$B$2:$B999,"Apata",'FC inventory'!$C$2:$C999,"Out")</f>
        <v>0</v>
      </c>
      <c r="V5" s="21">
        <f>sumifs('FC inventory'!X2:X999,'FC inventory'!$A$2:$A999,$A$1,'FC inventory'!$B$2:$B999,"Apata",'FC inventory'!$C$2:$C999,"Out")</f>
        <v>0</v>
      </c>
      <c r="W5" s="21">
        <f>sumifs('FC inventory'!Y2:Y999,'FC inventory'!$A$2:$A999,$A$1,'FC inventory'!$B$2:$B999,"Apata",'FC inventory'!$C$2:$C999,"Out")</f>
        <v>0</v>
      </c>
      <c r="X5" s="21">
        <f>sumifs('FC inventory'!Z2:Z999,'FC inventory'!$A$2:$A999,$A$1,'FC inventory'!$B$2:$B999,"Apata",'FC inventory'!$C$2:$C999,"Out")</f>
        <v>0</v>
      </c>
      <c r="Y5" s="21">
        <f>sumifs('FC inventory'!AA2:AA999,'FC inventory'!$A$2:$A999,$A$1,'FC inventory'!$B$2:$B999,"Apata",'FC inventory'!$C$2:$C999,"Out")</f>
        <v>0</v>
      </c>
      <c r="Z5" s="21">
        <f>sumifs('FC inventory'!AB2:AB999,'FC inventory'!$A$2:$A999,$A$1,'FC inventory'!$B$2:$B999,"Apata",'FC inventory'!$C$2:$C999,"Out")</f>
        <v>0</v>
      </c>
      <c r="AA5" s="21">
        <f>sumifs('FC inventory'!AC2:AC999,'FC inventory'!$A$2:$A999,$A$1,'FC inventory'!$B$2:$B999,"Apata",'FC inventory'!$C$2:$C999,"Out")</f>
        <v>0</v>
      </c>
      <c r="AB5" s="21">
        <f>sumifs('FC inventory'!AD2:AD999,'FC inventory'!$A$2:$A999,$A$1,'FC inventory'!$B$2:$B999,"Apata",'FC inventory'!$C$2:$C999,"Out")</f>
        <v>0</v>
      </c>
      <c r="AC5" s="21">
        <f>sumifs('FC inventory'!AE2:AE999,'FC inventory'!$A$2:$A999,$A$1,'FC inventory'!$B$2:$B999,"Apata",'FC inventory'!$C$2:$C999,"Out")</f>
        <v>0</v>
      </c>
      <c r="AD5" s="21">
        <f>sumifs('FC inventory'!AF2:AF999,'FC inventory'!$A$2:$A999,$A$1,'FC inventory'!$B$2:$B999,"Apata",'FC inventory'!$C$2:$C999,"Out")</f>
        <v>0</v>
      </c>
      <c r="AE5" s="21">
        <f>sumifs('FC inventory'!AG2:AG999,'FC inventory'!$A$2:$A999,$A$1,'FC inventory'!$B$2:$B999,"Apata",'FC inventory'!$C$2:$C999,"Out")</f>
        <v>0</v>
      </c>
      <c r="AF5" s="21">
        <f>sumifs('FC inventory'!AH2:AH999,'FC inventory'!$A$2:$A999,$A$1,'FC inventory'!$B$2:$B999,"Apata",'FC inventory'!$C$2:$C999,"Out")</f>
        <v>0</v>
      </c>
    </row>
    <row r="6">
      <c r="A6" s="20" t="s">
        <v>43</v>
      </c>
      <c r="B6" s="9">
        <f>SUMIFS('FC inventory'!D2:D999,'FC inventory'!$A$2:$A999,$A$1,'FC inventory'!$B$2:$B999,"Apata",'FC inventory'!$C$2:$C999,"Returned")</f>
        <v>0</v>
      </c>
      <c r="C6" s="9">
        <f>SUMIFS('FC inventory'!E2:E999,'FC inventory'!$A$2:$A999,$A$1,'FC inventory'!$B$2:$B999,"Apata",'FC inventory'!$C$2:$C999,"Returned")</f>
        <v>0</v>
      </c>
      <c r="D6" s="9">
        <f>SUMIFS('FC inventory'!F2:F999,'FC inventory'!$A$2:$A999,$A$1,'FC inventory'!$B$2:$B999,"Apata",'FC inventory'!$C$2:$C999,"Returned")</f>
        <v>0</v>
      </c>
      <c r="E6" s="9">
        <f>SUMIFS('FC inventory'!G2:G999,'FC inventory'!$A$2:$A999,$A$1,'FC inventory'!$B$2:$B999,"Apata",'FC inventory'!$C$2:$C999,"Returned")</f>
        <v>0</v>
      </c>
      <c r="F6" s="9">
        <f>SUMIFS('FC inventory'!H2:H999,'FC inventory'!$A$2:$A999,$A$1,'FC inventory'!$B$2:$B999,"Apata",'FC inventory'!$C$2:$C999,"Returned")</f>
        <v>0</v>
      </c>
      <c r="G6" s="9">
        <f>SUMIFS('FC inventory'!I2:I999,'FC inventory'!$A$2:$A999,$A$1,'FC inventory'!$B$2:$B999,"Apata",'FC inventory'!$C$2:$C999,"Returned")</f>
        <v>0</v>
      </c>
      <c r="H6" s="9">
        <f>SUMIFS('FC inventory'!J2:J999,'FC inventory'!$A$2:$A999,$A$1,'FC inventory'!$B$2:$B999,"Apata",'FC inventory'!$C$2:$C999,"Returned")</f>
        <v>0</v>
      </c>
      <c r="I6" s="9">
        <f>SUMIFS('FC inventory'!K2:K999,'FC inventory'!$A$2:$A999,$A$1,'FC inventory'!$B$2:$B999,"Apata",'FC inventory'!$C$2:$C999,"Returned")</f>
        <v>0</v>
      </c>
      <c r="J6" s="9">
        <f>SUMIFS('FC inventory'!L2:L999,'FC inventory'!$A$2:$A999,$A$1,'FC inventory'!$B$2:$B999,"Apata",'FC inventory'!$C$2:$C999,"Returned")</f>
        <v>0</v>
      </c>
      <c r="K6" s="9">
        <f>SUMIFS('FC inventory'!M2:M999,'FC inventory'!$A$2:$A999,$A$1,'FC inventory'!$B$2:$B999,"Apata",'FC inventory'!$C$2:$C999,"Returned")</f>
        <v>0</v>
      </c>
      <c r="L6" s="9">
        <f>SUMIFS('FC inventory'!N2:N999,'FC inventory'!$A$2:$A999,$A$1,'FC inventory'!$B$2:$B999,"Apata",'FC inventory'!$C$2:$C999,"Returned")</f>
        <v>0</v>
      </c>
      <c r="M6" s="9">
        <f>SUMIFS('FC inventory'!O2:O999,'FC inventory'!$A$2:$A999,$A$1,'FC inventory'!$B$2:$B999,"Apata",'FC inventory'!$C$2:$C999,"Returned")</f>
        <v>0</v>
      </c>
      <c r="N6" s="9">
        <f>SUMIFS('FC inventory'!P2:P999,'FC inventory'!$A$2:$A999,$A$1,'FC inventory'!$B$2:$B999,"Apata",'FC inventory'!$C$2:$C999,"Returned")</f>
        <v>0</v>
      </c>
      <c r="O6" s="9">
        <f>SUMIFS('FC inventory'!Q2:Q999,'FC inventory'!$A$2:$A999,$A$1,'FC inventory'!$B$2:$B999,"Apata",'FC inventory'!$C$2:$C999,"Returned")</f>
        <v>0</v>
      </c>
      <c r="P6" s="9">
        <f>SUMIFS('FC inventory'!R2:R999,'FC inventory'!$A$2:$A999,$A$1,'FC inventory'!$B$2:$B999,"Apata",'FC inventory'!$C$2:$C999,"Returned")</f>
        <v>0</v>
      </c>
      <c r="Q6" s="9">
        <f>SUMIFS('FC inventory'!S2:S999,'FC inventory'!$A$2:$A999,$A$1,'FC inventory'!$B$2:$B999,"Apata",'FC inventory'!$C$2:$C999,"Returned")</f>
        <v>0</v>
      </c>
      <c r="R6" s="9">
        <f>SUMIFS('FC inventory'!T2:T999,'FC inventory'!$A$2:$A999,$A$1,'FC inventory'!$B$2:$B999,"Apata",'FC inventory'!$C$2:$C999,"Returned")</f>
        <v>0</v>
      </c>
      <c r="S6" s="9">
        <f>SUMIFS('FC inventory'!U2:U999,'FC inventory'!$A$2:$A999,$A$1,'FC inventory'!$B$2:$B999,"Apata",'FC inventory'!$C$2:$C999,"Returned")</f>
        <v>0</v>
      </c>
      <c r="T6" s="9">
        <f>SUMIFS('FC inventory'!V2:V999,'FC inventory'!$A$2:$A999,$A$1,'FC inventory'!$B$2:$B999,"Apata",'FC inventory'!$C$2:$C999,"Returned")</f>
        <v>0</v>
      </c>
      <c r="U6" s="9">
        <f>SUMIFS('FC inventory'!W2:W999,'FC inventory'!$A$2:$A999,$A$1,'FC inventory'!$B$2:$B999,"Apata",'FC inventory'!$C$2:$C999,"Returned")</f>
        <v>0</v>
      </c>
      <c r="V6" s="9">
        <f>SUMIFS('FC inventory'!X2:X999,'FC inventory'!$A$2:$A999,$A$1,'FC inventory'!$B$2:$B999,"Apata",'FC inventory'!$C$2:$C999,"Returned")</f>
        <v>0</v>
      </c>
      <c r="W6" s="9">
        <f>SUMIFS('FC inventory'!Y2:Y999,'FC inventory'!$A$2:$A999,$A$1,'FC inventory'!$B$2:$B999,"Apata",'FC inventory'!$C$2:$C999,"Returned")</f>
        <v>0</v>
      </c>
      <c r="X6" s="9">
        <f>SUMIFS('FC inventory'!Z2:Z999,'FC inventory'!$A$2:$A999,$A$1,'FC inventory'!$B$2:$B999,"Apata",'FC inventory'!$C$2:$C999,"Returned")</f>
        <v>0</v>
      </c>
      <c r="Y6" s="9">
        <f>SUMIFS('FC inventory'!AA2:AA999,'FC inventory'!$A$2:$A999,$A$1,'FC inventory'!$B$2:$B999,"Apata",'FC inventory'!$C$2:$C999,"Returned")</f>
        <v>0</v>
      </c>
      <c r="Z6" s="9">
        <f>SUMIFS('FC inventory'!AB2:AB999,'FC inventory'!$A$2:$A999,$A$1,'FC inventory'!$B$2:$B999,"Apata",'FC inventory'!$C$2:$C999,"Returned")</f>
        <v>0</v>
      </c>
      <c r="AA6" s="9">
        <f>SUMIFS('FC inventory'!AC2:AC999,'FC inventory'!$A$2:$A999,$A$1,'FC inventory'!$B$2:$B999,"Apata",'FC inventory'!$C$2:$C999,"Returned")</f>
        <v>0</v>
      </c>
      <c r="AB6" s="9">
        <f>SUMIFS('FC inventory'!AD2:AD999,'FC inventory'!$A$2:$A999,$A$1,'FC inventory'!$B$2:$B999,"Apata",'FC inventory'!$C$2:$C999,"Returned")</f>
        <v>0</v>
      </c>
      <c r="AC6" s="9">
        <f>SUMIFS('FC inventory'!AE2:AE999,'FC inventory'!$A$2:$A999,$A$1,'FC inventory'!$B$2:$B999,"Apata",'FC inventory'!$C$2:$C999,"Returned")</f>
        <v>0</v>
      </c>
      <c r="AD6" s="9">
        <f>SUMIFS('FC inventory'!AF2:AF999,'FC inventory'!$A$2:$A999,$A$1,'FC inventory'!$B$2:$B999,"Apata",'FC inventory'!$C$2:$C999,"Returned")</f>
        <v>0</v>
      </c>
      <c r="AE6" s="9">
        <f>SUMIFS('FC inventory'!AG2:AG999,'FC inventory'!$A$2:$A999,$A$1,'FC inventory'!$B$2:$B999,"Apata",'FC inventory'!$C$2:$C999,"Returned")</f>
        <v>0</v>
      </c>
      <c r="AF6" s="9">
        <f>SUMIFS('FC inventory'!AH2:AH999,'FC inventory'!$A$2:$A999,$A$1,'FC inventory'!$B$2:$B999,"Apata",'FC inventory'!$C$2:$C999,"Returned")</f>
        <v>0</v>
      </c>
    </row>
    <row r="7">
      <c r="A7" s="23" t="s">
        <v>44</v>
      </c>
      <c r="B7" s="24">
        <f t="shared" ref="B7:AF7" si="1">B3+B4-B5+B6</f>
        <v>6</v>
      </c>
      <c r="C7" s="24">
        <f t="shared" si="1"/>
        <v>0</v>
      </c>
      <c r="D7" s="24">
        <f t="shared" si="1"/>
        <v>1</v>
      </c>
      <c r="E7" s="24">
        <f t="shared" si="1"/>
        <v>3</v>
      </c>
      <c r="F7" s="24">
        <f t="shared" si="1"/>
        <v>0</v>
      </c>
      <c r="G7" s="24">
        <f t="shared" si="1"/>
        <v>56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1</v>
      </c>
      <c r="M7" s="24">
        <f t="shared" si="1"/>
        <v>2</v>
      </c>
      <c r="N7" s="24">
        <f t="shared" si="1"/>
        <v>0</v>
      </c>
      <c r="O7" s="24">
        <f t="shared" si="1"/>
        <v>11</v>
      </c>
      <c r="P7" s="24">
        <f t="shared" si="1"/>
        <v>8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20</v>
      </c>
      <c r="V7" s="24">
        <f t="shared" si="1"/>
        <v>3</v>
      </c>
      <c r="W7" s="24">
        <f t="shared" si="1"/>
        <v>0</v>
      </c>
      <c r="X7" s="24">
        <f t="shared" si="1"/>
        <v>0</v>
      </c>
      <c r="Y7" s="24">
        <f t="shared" si="1"/>
        <v>4</v>
      </c>
      <c r="Z7" s="24">
        <f t="shared" si="1"/>
        <v>0</v>
      </c>
      <c r="AA7" s="24">
        <f t="shared" si="1"/>
        <v>1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</sheetData>
  <conditionalFormatting sqref="E28">
    <cfRule type="notContainsBlanks" dxfId="0" priority="1">
      <formula>LEN(TRIM(E28))&gt;0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inventory'!D2:D999,'FC inventory'!$A$2:$A999,"&lt;"&amp;$A$1,'FC inventory'!$B$2:$B999,"Alakia",'FC inventory'!$C$2:$C999,"In")-sumifs('FC inventory'!D2:D999,'FC inventory'!$A$2:$A999,"&lt;"&amp;$A$1,'FC inventory'!$B$2:$B999,"Alakia",'FC inventory'!$C$2:$C999,"Out")+SUMIFS('FC inventory'!D2:D999,'FC inventory'!$A$2:$A999,"&lt;"&amp;$A$1,'FC inventory'!$B$2:$B999,"Alakia",'FC inventory'!$C$2:$C999,"Returned")</f>
        <v>0</v>
      </c>
      <c r="C3" s="9">
        <f>sumifs('FC inventory'!E2:E999,'FC inventory'!$A$2:$A999,"&lt;"&amp;$A$1,'FC inventory'!$B$2:$B999,"Alakia",'FC inventory'!$C$2:$C999,"In")-sumifs('FC inventory'!E2:E999,'FC inventory'!$A$2:$A999,"&lt;"&amp;$A$1,'FC inventory'!$B$2:$B999,"Alakia",'FC inventory'!$C$2:$C999,"Out")+SUMIFS('FC inventory'!E2:E999,'FC inventory'!$A$2:$A999,"&lt;"&amp;$A$1,'FC inventory'!$B$2:$B999,"Alakia",'FC inventory'!$C$2:$C999,"Returned")</f>
        <v>3</v>
      </c>
      <c r="D3" s="9">
        <f>sumifs('FC inventory'!F2:F999,'FC inventory'!$A$2:$A999,"&lt;"&amp;$A$1,'FC inventory'!$B$2:$B999,"Alakia",'FC inventory'!$C$2:$C999,"In")-sumifs('FC inventory'!F2:F999,'FC inventory'!$A$2:$A999,"&lt;"&amp;$A$1,'FC inventory'!$B$2:$B999,"Alakia",'FC inventory'!$C$2:$C999,"Out")+SUMIFS('FC inventory'!F2:F999,'FC inventory'!$A$2:$A999,"&lt;"&amp;$A$1,'FC inventory'!$B$2:$B999,"Alakia",'FC inventory'!$C$2:$C999,"Returned")</f>
        <v>0</v>
      </c>
      <c r="E3" s="9">
        <f>sumifs('FC inventory'!G2:G999,'FC inventory'!$A$2:$A999,"&lt;"&amp;$A$1,'FC inventory'!$B$2:$B999,"Alakia",'FC inventory'!$C$2:$C999,"In")-sumifs('FC inventory'!G2:G999,'FC inventory'!$A$2:$A999,"&lt;"&amp;$A$1,'FC inventory'!$B$2:$B999,"Alakia",'FC inventory'!$C$2:$C999,"Out")+SUMIFS('FC inventory'!G2:G999,'FC inventory'!$A$2:$A999,"&lt;"&amp;$A$1,'FC inventory'!$B$2:$B999,"Alakia",'FC inventory'!$C$2:$C999,"Returned")</f>
        <v>0</v>
      </c>
      <c r="F3" s="9">
        <f>sumifs('FC inventory'!H2:H999,'FC inventory'!$A$2:$A999,"&lt;"&amp;$A$1,'FC inventory'!$B$2:$B999,"Alakia",'FC inventory'!$C$2:$C999,"In")-sumifs('FC inventory'!H2:H999,'FC inventory'!$A$2:$A999,"&lt;"&amp;$A$1,'FC inventory'!$B$2:$B999,"Alakia",'FC inventory'!$C$2:$C999,"Out")+SUMIFS('FC inventory'!H2:H999,'FC inventory'!$A$2:$A999,"&lt;"&amp;$A$1,'FC inventory'!$B$2:$B999,"Alakia",'FC inventory'!$C$2:$C999,"Returned")</f>
        <v>0</v>
      </c>
      <c r="G3" s="9">
        <f>sumifs('FC inventory'!I2:I999,'FC inventory'!$A$2:$A999,"&lt;"&amp;$A$1,'FC inventory'!$B$2:$B999,"Alakia",'FC inventory'!$C$2:$C999,"In")-sumifs('FC inventory'!I2:I999,'FC inventory'!$A$2:$A999,"&lt;"&amp;$A$1,'FC inventory'!$B$2:$B999,"Alakia",'FC inventory'!$C$2:$C999,"Out")+SUMIFS('FC inventory'!I2:I999,'FC inventory'!$A$2:$A999,"&lt;"&amp;$A$1,'FC inventory'!$B$2:$B999,"Alakia",'FC inventory'!$C$2:$C999,"Returned")</f>
        <v>25</v>
      </c>
      <c r="H3" s="9">
        <f>sumifs('FC inventory'!J2:J999,'FC inventory'!$A$2:$A999,"&lt;"&amp;$A$1,'FC inventory'!$B$2:$B999,"Alakia",'FC inventory'!$C$2:$C999,"In")-sumifs('FC inventory'!J2:J999,'FC inventory'!$A$2:$A999,"&lt;"&amp;$A$1,'FC inventory'!$B$2:$B999,"Alakia",'FC inventory'!$C$2:$C999,"Out")+SUMIFS('FC inventory'!J2:J999,'FC inventory'!$A$2:$A999,"&lt;"&amp;$A$1,'FC inventory'!$B$2:$B999,"Alakia",'FC inventory'!$C$2:$C999,"Returned")</f>
        <v>0</v>
      </c>
      <c r="I3" s="9">
        <f>sumifs('FC inventory'!K2:K999,'FC inventory'!$A$2:$A999,"&lt;"&amp;$A$1,'FC inventory'!$B$2:$B999,"Alakia",'FC inventory'!$C$2:$C999,"In")-sumifs('FC inventory'!K2:K999,'FC inventory'!$A$2:$A999,"&lt;"&amp;$A$1,'FC inventory'!$B$2:$B999,"Alakia",'FC inventory'!$C$2:$C999,"Out")+SUMIFS('FC inventory'!K2:K999,'FC inventory'!$A$2:$A999,"&lt;"&amp;$A$1,'FC inventory'!$B$2:$B999,"Alakia",'FC inventory'!$C$2:$C999,"Returned")</f>
        <v>0</v>
      </c>
      <c r="J3" s="9">
        <f>sumifs('FC inventory'!L2:L999,'FC inventory'!$A$2:$A999,"&lt;"&amp;$A$1,'FC inventory'!$B$2:$B999,"Alakia",'FC inventory'!$C$2:$C999,"In")-sumifs('FC inventory'!L2:L999,'FC inventory'!$A$2:$A999,"&lt;"&amp;$A$1,'FC inventory'!$B$2:$B999,"Alakia",'FC inventory'!$C$2:$C999,"Out")+SUMIFS('FC inventory'!L2:L999,'FC inventory'!$A$2:$A999,"&lt;"&amp;$A$1,'FC inventory'!$B$2:$B999,"Alakia",'FC inventory'!$C$2:$C999,"Returned")</f>
        <v>0</v>
      </c>
      <c r="K3" s="9">
        <f>sumifs('FC inventory'!M2:M999,'FC inventory'!$A$2:$A999,"&lt;"&amp;$A$1,'FC inventory'!$B$2:$B999,"Alakia",'FC inventory'!$C$2:$C999,"In")-sumifs('FC inventory'!M2:M999,'FC inventory'!$A$2:$A999,"&lt;"&amp;$A$1,'FC inventory'!$B$2:$B999,"Alakia",'FC inventory'!$C$2:$C999,"Out")+SUMIFS('FC inventory'!M2:M999,'FC inventory'!$A$2:$A999,"&lt;"&amp;$A$1,'FC inventory'!$B$2:$B999,"Alakia",'FC inventory'!$C$2:$C999,"Returned")</f>
        <v>0</v>
      </c>
      <c r="L3" s="9">
        <f>sumifs('FC inventory'!N2:N999,'FC inventory'!$A$2:$A999,"&lt;"&amp;$A$1,'FC inventory'!$B$2:$B999,"Alakia",'FC inventory'!$C$2:$C999,"In")-sumifs('FC inventory'!N2:N999,'FC inventory'!$A$2:$A999,"&lt;"&amp;$A$1,'FC inventory'!$B$2:$B999,"Alakia",'FC inventory'!$C$2:$C999,"Out")+SUMIFS('FC inventory'!N2:N999,'FC inventory'!$A$2:$A999,"&lt;"&amp;$A$1,'FC inventory'!$B$2:$B999,"Alakia",'FC inventory'!$C$2:$C999,"Returned")</f>
        <v>0</v>
      </c>
      <c r="M3" s="9">
        <f>sumifs('FC inventory'!O2:O999,'FC inventory'!$A$2:$A999,"&lt;"&amp;$A$1,'FC inventory'!$B$2:$B999,"Alakia",'FC inventory'!$C$2:$C999,"In")-sumifs('FC inventory'!O2:O999,'FC inventory'!$A$2:$A999,"&lt;"&amp;$A$1,'FC inventory'!$B$2:$B999,"Alakia",'FC inventory'!$C$2:$C999,"Out")+SUMIFS('FC inventory'!O2:O999,'FC inventory'!$A$2:$A999,"&lt;"&amp;$A$1,'FC inventory'!$B$2:$B999,"Alakia",'FC inventory'!$C$2:$C999,"Returned")</f>
        <v>1</v>
      </c>
      <c r="N3" s="9">
        <f>sumifs('FC inventory'!P2:P999,'FC inventory'!$A$2:$A999,"&lt;"&amp;$A$1,'FC inventory'!$B$2:$B999,"Alakia",'FC inventory'!$C$2:$C999,"In")-sumifs('FC inventory'!P2:P999,'FC inventory'!$A$2:$A999,"&lt;"&amp;$A$1,'FC inventory'!$B$2:$B999,"Alakia",'FC inventory'!$C$2:$C999,"Out")+SUMIFS('FC inventory'!P2:P999,'FC inventory'!$A$2:$A999,"&lt;"&amp;$A$1,'FC inventory'!$B$2:$B999,"Alakia",'FC inventory'!$C$2:$C999,"Returned")</f>
        <v>0</v>
      </c>
      <c r="O3" s="9">
        <f>sumifs('FC inventory'!Q2:Q999,'FC inventory'!$A$2:$A999,"&lt;"&amp;$A$1,'FC inventory'!$B$2:$B999,"Alakia",'FC inventory'!$C$2:$C999,"In")-sumifs('FC inventory'!Q2:Q999,'FC inventory'!$A$2:$A999,"&lt;"&amp;$A$1,'FC inventory'!$B$2:$B999,"Alakia",'FC inventory'!$C$2:$C999,"Out")+SUMIFS('FC inventory'!Q2:Q999,'FC inventory'!$A$2:$A999,"&lt;"&amp;$A$1,'FC inventory'!$B$2:$B999,"Alakia",'FC inventory'!$C$2:$C999,"Returned")</f>
        <v>11</v>
      </c>
      <c r="P3" s="9">
        <f>sumifs('FC inventory'!R2:R999,'FC inventory'!$A$2:$A999,"&lt;"&amp;$A$1,'FC inventory'!$B$2:$B999,"Alakia",'FC inventory'!$C$2:$C999,"In")-sumifs('FC inventory'!R2:R999,'FC inventory'!$A$2:$A999,"&lt;"&amp;$A$1,'FC inventory'!$B$2:$B999,"Alakia",'FC inventory'!$C$2:$C999,"Out")+SUMIFS('FC inventory'!R2:R999,'FC inventory'!$A$2:$A999,"&lt;"&amp;$A$1,'FC inventory'!$B$2:$B999,"Alakia",'FC inventory'!$C$2:$C999,"Returned")</f>
        <v>6</v>
      </c>
      <c r="Q3" s="9">
        <f>sumifs('FC inventory'!S2:S999,'FC inventory'!$A$2:$A999,"&lt;"&amp;$A$1,'FC inventory'!$B$2:$B999,"Alakia",'FC inventory'!$C$2:$C999,"In")-sumifs('FC inventory'!S2:S999,'FC inventory'!$A$2:$A999,"&lt;"&amp;$A$1,'FC inventory'!$B$2:$B999,"Alakia",'FC inventory'!$C$2:$C999,"Out")+SUMIFS('FC inventory'!S2:S999,'FC inventory'!$A$2:$A999,"&lt;"&amp;$A$1,'FC inventory'!$B$2:$B999,"Alakia",'FC inventory'!$C$2:$C999,"Returned")</f>
        <v>0</v>
      </c>
      <c r="R3" s="9">
        <f>sumifs('FC inventory'!T2:T999,'FC inventory'!$A$2:$A999,"&lt;"&amp;$A$1,'FC inventory'!$B$2:$B999,"Alakia",'FC inventory'!$C$2:$C999,"In")-sumifs('FC inventory'!T2:T999,'FC inventory'!$A$2:$A999,"&lt;"&amp;$A$1,'FC inventory'!$B$2:$B999,"Alakia",'FC inventory'!$C$2:$C999,"Out")+SUMIFS('FC inventory'!T2:T999,'FC inventory'!$A$2:$A999,"&lt;"&amp;$A$1,'FC inventory'!$B$2:$B999,"Alakia",'FC inventory'!$C$2:$C999,"Returned")</f>
        <v>0</v>
      </c>
      <c r="S3" s="9">
        <f>sumifs('FC inventory'!U2:U999,'FC inventory'!$A$2:$A999,"&lt;"&amp;$A$1,'FC inventory'!$B$2:$B999,"Alakia",'FC inventory'!$C$2:$C999,"In")-sumifs('FC inventory'!U2:U999,'FC inventory'!$A$2:$A999,"&lt;"&amp;$A$1,'FC inventory'!$B$2:$B999,"Alakia",'FC inventory'!$C$2:$C999,"Out")+SUMIFS('FC inventory'!U2:U999,'FC inventory'!$A$2:$A999,"&lt;"&amp;$A$1,'FC inventory'!$B$2:$B999,"Alakia",'FC inventory'!$C$2:$C999,"Returned")</f>
        <v>0</v>
      </c>
      <c r="T3" s="9">
        <f>sumifs('FC inventory'!V2:V999,'FC inventory'!$A$2:$A999,"&lt;"&amp;$A$1,'FC inventory'!$B$2:$B999,"Alakia",'FC inventory'!$C$2:$C999,"In")-sumifs('FC inventory'!V2:V999,'FC inventory'!$A$2:$A999,"&lt;"&amp;$A$1,'FC inventory'!$B$2:$B999,"Alakia",'FC inventory'!$C$2:$C999,"Out")+SUMIFS('FC inventory'!V2:V999,'FC inventory'!$A$2:$A999,"&lt;"&amp;$A$1,'FC inventory'!$B$2:$B999,"Alakia",'FC inventory'!$C$2:$C999,"Returned")</f>
        <v>0</v>
      </c>
      <c r="U3" s="9">
        <f>sumifs('FC inventory'!W2:W999,'FC inventory'!$A$2:$A999,"&lt;"&amp;$A$1,'FC inventory'!$B$2:$B999,"Alakia",'FC inventory'!$C$2:$C999,"In")-sumifs('FC inventory'!W2:W999,'FC inventory'!$A$2:$A999,"&lt;"&amp;$A$1,'FC inventory'!$B$2:$B999,"Alakia",'FC inventory'!$C$2:$C999,"Out")+SUMIFS('FC inventory'!W2:W999,'FC inventory'!$A$2:$A999,"&lt;"&amp;$A$1,'FC inventory'!$B$2:$B999,"Alakia",'FC inventory'!$C$2:$C999,"Returned")</f>
        <v>12</v>
      </c>
      <c r="V3" s="9">
        <f>sumifs('FC inventory'!X2:X999,'FC inventory'!$A$2:$A999,"&lt;"&amp;$A$1,'FC inventory'!$B$2:$B999,"Alakia",'FC inventory'!$C$2:$C999,"In")-sumifs('FC inventory'!X2:X999,'FC inventory'!$A$2:$A999,"&lt;"&amp;$A$1,'FC inventory'!$B$2:$B999,"Alakia",'FC inventory'!$C$2:$C999,"Out")+SUMIFS('FC inventory'!X2:X999,'FC inventory'!$A$2:$A999,"&lt;"&amp;$A$1,'FC inventory'!$B$2:$B999,"Alakia",'FC inventory'!$C$2:$C999,"Returned")</f>
        <v>0</v>
      </c>
      <c r="W3" s="9">
        <f>sumifs('FC inventory'!Y2:Y999,'FC inventory'!$A$2:$A999,"&lt;"&amp;$A$1,'FC inventory'!$B$2:$B999,"Alakia",'FC inventory'!$C$2:$C999,"In")-sumifs('FC inventory'!Y2:Y999,'FC inventory'!$A$2:$A999,"&lt;"&amp;$A$1,'FC inventory'!$B$2:$B999,"Alakia",'FC inventory'!$C$2:$C999,"Out")+SUMIFS('FC inventory'!Y2:Y999,'FC inventory'!$A$2:$A999,"&lt;"&amp;$A$1,'FC inventory'!$B$2:$B999,"Alakia",'FC inventory'!$C$2:$C999,"Returned")</f>
        <v>0</v>
      </c>
      <c r="X3" s="9">
        <f>sumifs('FC inventory'!Z2:Z999,'FC inventory'!$A$2:$A999,"&lt;"&amp;$A$1,'FC inventory'!$B$2:$B999,"Alakia",'FC inventory'!$C$2:$C999,"In")-sumifs('FC inventory'!Z2:Z999,'FC inventory'!$A$2:$A999,"&lt;"&amp;$A$1,'FC inventory'!$B$2:$B999,"Alakia",'FC inventory'!$C$2:$C999,"Out")+SUMIFS('FC inventory'!Z2:Z999,'FC inventory'!$A$2:$A999,"&lt;"&amp;$A$1,'FC inventory'!$B$2:$B999,"Alakia",'FC inventory'!$C$2:$C999,"Returned")</f>
        <v>0</v>
      </c>
      <c r="Y3" s="9">
        <f>sumifs('FC inventory'!AA2:AA999,'FC inventory'!$A$2:$A999,"&lt;"&amp;$A$1,'FC inventory'!$B$2:$B999,"Alakia",'FC inventory'!$C$2:$C999,"In")-sumifs('FC inventory'!AA2:AA999,'FC inventory'!$A$2:$A999,"&lt;"&amp;$A$1,'FC inventory'!$B$2:$B999,"Alakia",'FC inventory'!$C$2:$C999,"Out")+SUMIFS('FC inventory'!AA2:AA999,'FC inventory'!$A$2:$A999,"&lt;"&amp;$A$1,'FC inventory'!$B$2:$B999,"Alakia",'FC inventory'!$C$2:$C999,"Returned")</f>
        <v>1</v>
      </c>
      <c r="Z3" s="9">
        <f>sumifs('FC inventory'!AB2:AB999,'FC inventory'!$A$2:$A999,"&lt;"&amp;$A$1,'FC inventory'!$B$2:$B999,"Alakia",'FC inventory'!$C$2:$C999,"In")-sumifs('FC inventory'!AB2:AB999,'FC inventory'!$A$2:$A999,"&lt;"&amp;$A$1,'FC inventory'!$B$2:$B999,"Alakia",'FC inventory'!$C$2:$C999,"Out")+SUMIFS('FC inventory'!AB2:AB999,'FC inventory'!$A$2:$A999,"&lt;"&amp;$A$1,'FC inventory'!$B$2:$B999,"Alakia",'FC inventory'!$C$2:$C999,"Returned")</f>
        <v>2</v>
      </c>
      <c r="AA3" s="9">
        <f>sumifs('FC inventory'!AC2:AC999,'FC inventory'!$A$2:$A999,"&lt;"&amp;$A$1,'FC inventory'!$B$2:$B999,"Alakia",'FC inventory'!$C$2:$C999,"In")-sumifs('FC inventory'!AC2:AC999,'FC inventory'!$A$2:$A999,"&lt;"&amp;$A$1,'FC inventory'!$B$2:$B999,"Alakia",'FC inventory'!$C$2:$C999,"Out")+SUMIFS('FC inventory'!AC2:AC999,'FC inventory'!$A$2:$A999,"&lt;"&amp;$A$1,'FC inventory'!$B$2:$B999,"Alakia",'FC inventory'!$C$2:$C999,"Returned")</f>
        <v>0</v>
      </c>
      <c r="AB3" s="9">
        <f>sumifs('FC inventory'!AD2:AD999,'FC inventory'!$A$2:$A999,"&lt;"&amp;$A$1,'FC inventory'!$B$2:$B999,"Alakia",'FC inventory'!$C$2:$C999,"In")-sumifs('FC inventory'!AD2:AD999,'FC inventory'!$A$2:$A999,"&lt;"&amp;$A$1,'FC inventory'!$B$2:$B999,"Alakia",'FC inventory'!$C$2:$C999,"Out")+SUMIFS('FC inventory'!AD2:AD999,'FC inventory'!$A$2:$A999,"&lt;"&amp;$A$1,'FC inventory'!$B$2:$B999,"Alakia",'FC inventory'!$C$2:$C999,"Returned")</f>
        <v>0</v>
      </c>
      <c r="AC3" s="9">
        <f>sumifs('FC inventory'!AE2:AE999,'FC inventory'!$A$2:$A999,"&lt;"&amp;$A$1,'FC inventory'!$B$2:$B999,"Alakia",'FC inventory'!$C$2:$C999,"In")-sumifs('FC inventory'!AE2:AE999,'FC inventory'!$A$2:$A999,"&lt;"&amp;$A$1,'FC inventory'!$B$2:$B999,"Alakia",'FC inventory'!$C$2:$C999,"Out")+SUMIFS('FC inventory'!AE2:AE999,'FC inventory'!$A$2:$A999,"&lt;"&amp;$A$1,'FC inventory'!$B$2:$B999,"Alakia",'FC inventory'!$C$2:$C999,"Returned")</f>
        <v>0</v>
      </c>
      <c r="AD3" s="9">
        <f>sumifs('FC inventory'!AF2:AF999,'FC inventory'!$A$2:$A999,"&lt;"&amp;$A$1,'FC inventory'!$B$2:$B999,"Alakia",'FC inventory'!$C$2:$C999,"In")-sumifs('FC inventory'!AF2:AF999,'FC inventory'!$A$2:$A999,"&lt;"&amp;$A$1,'FC inventory'!$B$2:$B999,"Alakia",'FC inventory'!$C$2:$C999,"Out")+SUMIFS('FC inventory'!AF2:AF999,'FC inventory'!$A$2:$A999,"&lt;"&amp;$A$1,'FC inventory'!$B$2:$B999,"Alakia",'FC inventory'!$C$2:$C999,"Returned")</f>
        <v>0</v>
      </c>
      <c r="AE3" s="9">
        <f>sumifs('FC inventory'!AG2:AG999,'FC inventory'!$A$2:$A999,"&lt;"&amp;$A$1,'FC inventory'!$B$2:$B999,"Alakia",'FC inventory'!$C$2:$C999,"In")-sumifs('FC inventory'!AG2:AG999,'FC inventory'!$A$2:$A999,"&lt;"&amp;$A$1,'FC inventory'!$B$2:$B999,"Alakia",'FC inventory'!$C$2:$C999,"Out")+SUMIFS('FC inventory'!AG2:AG999,'FC inventory'!$A$2:$A999,"&lt;"&amp;$A$1,'FC inventory'!$B$2:$B999,"Alakia",'FC inventory'!$C$2:$C999,"Returned")</f>
        <v>0</v>
      </c>
      <c r="AF3" s="9">
        <f>sumifs('FC inventory'!AH2:AH999,'FC inventory'!$A$2:$A999,"&lt;"&amp;$A$1,'FC inventory'!$B$2:$B999,"Alakia",'FC inventory'!$C$2:$C999,"In")-sumifs('FC inventory'!AH2:AH999,'FC inventory'!$A$2:$A999,"&lt;"&amp;$A$1,'FC inventory'!$B$2:$B999,"Alakia",'FC inventory'!$C$2:$C999,"Out")+SUMIFS('FC inventory'!AH2:AH999,'FC inventory'!$A$2:$A999,"&lt;"&amp;$A$1,'FC inventory'!$B$2:$B999,"Alakia",'FC inventory'!$C$2:$C999,"Returned")</f>
        <v>0</v>
      </c>
    </row>
    <row r="4">
      <c r="A4" s="20" t="s">
        <v>35</v>
      </c>
      <c r="B4" s="21">
        <f>sumifs('FC inventory'!D2:D999,'FC inventory'!$A$2:$A999,$A$1,'FC inventory'!$B$2:$B999,"Alakia",'FC inventory'!$C$2:$C999,"In")</f>
        <v>0</v>
      </c>
      <c r="C4" s="21">
        <f>sumifs('FC inventory'!E2:E999,'FC inventory'!$A$2:$A999,$A$1,'FC inventory'!$B$2:$B999,"Alakia",'FC inventory'!$C$2:$C999,"In")</f>
        <v>0</v>
      </c>
      <c r="D4" s="21">
        <f>sumifs('FC inventory'!F2:F999,'FC inventory'!$A$2:$A999,$A$1,'FC inventory'!$B$2:$B999,"Alakia",'FC inventory'!$C$2:$C999,"In")</f>
        <v>0</v>
      </c>
      <c r="E4" s="21">
        <f>sumifs('FC inventory'!G2:G999,'FC inventory'!$A$2:$A999,$A$1,'FC inventory'!$B$2:$B999,"Alakia",'FC inventory'!$C$2:$C999,"In")</f>
        <v>0</v>
      </c>
      <c r="F4" s="21">
        <f>sumifs('FC inventory'!H2:H999,'FC inventory'!$A$2:$A999,$A$1,'FC inventory'!$B$2:$B999,"Alakia",'FC inventory'!$C$2:$C999,"In")</f>
        <v>0</v>
      </c>
      <c r="G4" s="21">
        <f>sumifs('FC inventory'!I2:I999,'FC inventory'!$A$2:$A999,$A$1,'FC inventory'!$B$2:$B999,"Alakia",'FC inventory'!$C$2:$C999,"In")</f>
        <v>0</v>
      </c>
      <c r="H4" s="21">
        <f>sumifs('FC inventory'!J2:J999,'FC inventory'!$A$2:$A999,$A$1,'FC inventory'!$B$2:$B999,"Alakia",'FC inventory'!$C$2:$C999,"In")</f>
        <v>0</v>
      </c>
      <c r="I4" s="21">
        <f>sumifs('FC inventory'!K2:K999,'FC inventory'!$A$2:$A999,$A$1,'FC inventory'!$B$2:$B999,"Alakia",'FC inventory'!$C$2:$C999,"In")</f>
        <v>0</v>
      </c>
      <c r="J4" s="21">
        <f>sumifs('FC inventory'!L2:L999,'FC inventory'!$A$2:$A999,$A$1,'FC inventory'!$B$2:$B999,"Alakia",'FC inventory'!$C$2:$C999,"In")</f>
        <v>0</v>
      </c>
      <c r="K4" s="21">
        <f>sumifs('FC inventory'!M2:M999,'FC inventory'!$A$2:$A999,$A$1,'FC inventory'!$B$2:$B999,"Alakia",'FC inventory'!$C$2:$C999,"In")</f>
        <v>0</v>
      </c>
      <c r="L4" s="21">
        <f>sumifs('FC inventory'!N2:N999,'FC inventory'!$A$2:$A999,$A$1,'FC inventory'!$B$2:$B999,"Alakia",'FC inventory'!$C$2:$C999,"In")</f>
        <v>0</v>
      </c>
      <c r="M4" s="21">
        <f>sumifs('FC inventory'!O2:O999,'FC inventory'!$A$2:$A999,$A$1,'FC inventory'!$B$2:$B999,"Alakia",'FC inventory'!$C$2:$C999,"In")</f>
        <v>0</v>
      </c>
      <c r="N4" s="21">
        <f>sumifs('FC inventory'!P2:P999,'FC inventory'!$A$2:$A999,$A$1,'FC inventory'!$B$2:$B999,"Alakia",'FC inventory'!$C$2:$C999,"In")</f>
        <v>0</v>
      </c>
      <c r="O4" s="21">
        <f>sumifs('FC inventory'!Q2:Q999,'FC inventory'!$A$2:$A999,$A$1,'FC inventory'!$B$2:$B999,"Alakia",'FC inventory'!$C$2:$C999,"In")</f>
        <v>0</v>
      </c>
      <c r="P4" s="21">
        <f>sumifs('FC inventory'!R2:R999,'FC inventory'!$A$2:$A999,$A$1,'FC inventory'!$B$2:$B999,"Alakia",'FC inventory'!$C$2:$C999,"In")</f>
        <v>0</v>
      </c>
      <c r="Q4" s="21">
        <f>sumifs('FC inventory'!S2:S999,'FC inventory'!$A$2:$A999,$A$1,'FC inventory'!$B$2:$B999,"Alakia",'FC inventory'!$C$2:$C999,"In")</f>
        <v>0</v>
      </c>
      <c r="R4" s="21">
        <f>sumifs('FC inventory'!T2:T999,'FC inventory'!$A$2:$A999,$A$1,'FC inventory'!$B$2:$B999,"Alakia",'FC inventory'!$C$2:$C999,"In")</f>
        <v>0</v>
      </c>
      <c r="S4" s="21">
        <f>sumifs('FC inventory'!U2:U999,'FC inventory'!$A$2:$A999,$A$1,'FC inventory'!$B$2:$B999,"Alakia",'FC inventory'!$C$2:$C999,"In")</f>
        <v>0</v>
      </c>
      <c r="T4" s="21">
        <f>sumifs('FC inventory'!V2:V999,'FC inventory'!$A$2:$A999,$A$1,'FC inventory'!$B$2:$B999,"Alakia",'FC inventory'!$C$2:$C999,"In")</f>
        <v>0</v>
      </c>
      <c r="U4" s="21">
        <f>sumifs('FC inventory'!W2:W999,'FC inventory'!$A$2:$A999,$A$1,'FC inventory'!$B$2:$B999,"Alakia",'FC inventory'!$C$2:$C999,"In")</f>
        <v>0</v>
      </c>
      <c r="V4" s="21">
        <f>sumifs('FC inventory'!X2:X999,'FC inventory'!$A$2:$A999,$A$1,'FC inventory'!$B$2:$B999,"Alakia",'FC inventory'!$C$2:$C999,"In")</f>
        <v>0</v>
      </c>
      <c r="W4" s="21">
        <f>sumifs('FC inventory'!Y2:Y999,'FC inventory'!$A$2:$A999,$A$1,'FC inventory'!$B$2:$B999,"Alakia",'FC inventory'!$C$2:$C999,"In")</f>
        <v>0</v>
      </c>
      <c r="X4" s="21">
        <f>sumifs('FC inventory'!Z2:Z999,'FC inventory'!$A$2:$A999,$A$1,'FC inventory'!$B$2:$B999,"Alakia",'FC inventory'!$C$2:$C999,"In")</f>
        <v>0</v>
      </c>
      <c r="Y4" s="21">
        <f>sumifs('FC inventory'!AA2:AA999,'FC inventory'!$A$2:$A999,$A$1,'FC inventory'!$B$2:$B999,"Alakia",'FC inventory'!$C$2:$C999,"In")</f>
        <v>0</v>
      </c>
      <c r="Z4" s="21">
        <f>sumifs('FC inventory'!AB2:AB999,'FC inventory'!$A$2:$A999,$A$1,'FC inventory'!$B$2:$B999,"Alakia",'FC inventory'!$C$2:$C999,"In")</f>
        <v>0</v>
      </c>
      <c r="AA4" s="21">
        <f>sumifs('FC inventory'!AC2:AC999,'FC inventory'!$A$2:$A999,$A$1,'FC inventory'!$B$2:$B999,"Alakia",'FC inventory'!$C$2:$C999,"In")</f>
        <v>0</v>
      </c>
      <c r="AB4" s="21">
        <f>sumifs('FC inventory'!AD2:AD999,'FC inventory'!$A$2:$A999,$A$1,'FC inventory'!$B$2:$B999,"Alakia",'FC inventory'!$C$2:$C999,"In")</f>
        <v>0</v>
      </c>
      <c r="AC4" s="21">
        <f>sumifs('FC inventory'!AE2:AE999,'FC inventory'!$A$2:$A999,$A$1,'FC inventory'!$B$2:$B999,"Alakia",'FC inventory'!$C$2:$C999,"In")</f>
        <v>0</v>
      </c>
      <c r="AD4" s="21">
        <f>sumifs('FC inventory'!AF2:AF999,'FC inventory'!$A$2:$A999,$A$1,'FC inventory'!$B$2:$B999,"Alakia",'FC inventory'!$C$2:$C999,"In")</f>
        <v>0</v>
      </c>
      <c r="AE4" s="21">
        <f>sumifs('FC inventory'!AG2:AG999,'FC inventory'!$A$2:$A999,$A$1,'FC inventory'!$B$2:$B999,"Alakia",'FC inventory'!$C$2:$C999,"In")</f>
        <v>0</v>
      </c>
      <c r="AF4" s="21">
        <f>sumifs('FC inventory'!AH2:AH999,'FC inventory'!$A$2:$A999,$A$1,'FC inventory'!$B$2:$B999,"Alakia",'FC inventory'!$C$2:$C999,"In")</f>
        <v>0</v>
      </c>
    </row>
    <row r="5">
      <c r="A5" s="22" t="s">
        <v>38</v>
      </c>
      <c r="B5" s="21">
        <f>sumifs('FC inventory'!D2:D999,'FC inventory'!$A$2:$A999,$A$1,'FC inventory'!$B$2:$B999,"Alakia",'FC inventory'!$C$2:$C999,"Out")</f>
        <v>0</v>
      </c>
      <c r="C5" s="21">
        <f>sumifs('FC inventory'!E2:E999,'FC inventory'!$A$2:$A999,$A$1,'FC inventory'!$B$2:$B999,"Alakia",'FC inventory'!$C$2:$C999,"Out")</f>
        <v>0</v>
      </c>
      <c r="D5" s="21">
        <f>sumifs('FC inventory'!F2:F999,'FC inventory'!$A$2:$A999,$A$1,'FC inventory'!$B$2:$B999,"Alakia",'FC inventory'!$C$2:$C999,"Out")</f>
        <v>0</v>
      </c>
      <c r="E5" s="21">
        <f>sumifs('FC inventory'!G2:G999,'FC inventory'!$A$2:$A999,$A$1,'FC inventory'!$B$2:$B999,"Alakia",'FC inventory'!$C$2:$C999,"Out")</f>
        <v>0</v>
      </c>
      <c r="F5" s="21">
        <f>sumifs('FC inventory'!H2:H999,'FC inventory'!$A$2:$A999,$A$1,'FC inventory'!$B$2:$B999,"Alakia",'FC inventory'!$C$2:$C999,"Out")</f>
        <v>0</v>
      </c>
      <c r="G5" s="21">
        <f>sumifs('FC inventory'!I2:I999,'FC inventory'!$A$2:$A999,$A$1,'FC inventory'!$B$2:$B999,"Alakia",'FC inventory'!$C$2:$C999,"Out")</f>
        <v>0</v>
      </c>
      <c r="H5" s="21">
        <f>sumifs('FC inventory'!J2:J999,'FC inventory'!$A$2:$A999,$A$1,'FC inventory'!$B$2:$B999,"Alakia",'FC inventory'!$C$2:$C999,"Out")</f>
        <v>0</v>
      </c>
      <c r="I5" s="21">
        <f>sumifs('FC inventory'!K2:K999,'FC inventory'!$A$2:$A999,$A$1,'FC inventory'!$B$2:$B999,"Alakia",'FC inventory'!$C$2:$C999,"Out")</f>
        <v>0</v>
      </c>
      <c r="J5" s="21">
        <f>sumifs('FC inventory'!L2:L999,'FC inventory'!$A$2:$A999,$A$1,'FC inventory'!$B$2:$B999,"Alakia",'FC inventory'!$C$2:$C999,"Out")</f>
        <v>0</v>
      </c>
      <c r="K5" s="21">
        <f>sumifs('FC inventory'!M2:M999,'FC inventory'!$A$2:$A999,$A$1,'FC inventory'!$B$2:$B999,"Alakia",'FC inventory'!$C$2:$C999,"Out")</f>
        <v>0</v>
      </c>
      <c r="L5" s="21">
        <f>sumifs('FC inventory'!N2:N999,'FC inventory'!$A$2:$A999,$A$1,'FC inventory'!$B$2:$B999,"Alakia",'FC inventory'!$C$2:$C999,"Out")</f>
        <v>0</v>
      </c>
      <c r="M5" s="21">
        <f>sumifs('FC inventory'!O2:O999,'FC inventory'!$A$2:$A999,$A$1,'FC inventory'!$B$2:$B999,"Alakia",'FC inventory'!$C$2:$C999,"Out")</f>
        <v>0</v>
      </c>
      <c r="N5" s="21">
        <f>sumifs('FC inventory'!P2:P999,'FC inventory'!$A$2:$A999,$A$1,'FC inventory'!$B$2:$B999,"Alakia",'FC inventory'!$C$2:$C999,"Out")</f>
        <v>0</v>
      </c>
      <c r="O5" s="21">
        <f>sumifs('FC inventory'!Q2:Q999,'FC inventory'!$A$2:$A999,$A$1,'FC inventory'!$B$2:$B999,"Alakia",'FC inventory'!$C$2:$C999,"Out")</f>
        <v>0</v>
      </c>
      <c r="P5" s="21">
        <f>sumifs('FC inventory'!R2:R999,'FC inventory'!$A$2:$A999,$A$1,'FC inventory'!$B$2:$B999,"Alakia",'FC inventory'!$C$2:$C999,"Out")</f>
        <v>0</v>
      </c>
      <c r="Q5" s="21">
        <f>sumifs('FC inventory'!S2:S999,'FC inventory'!$A$2:$A999,$A$1,'FC inventory'!$B$2:$B999,"Alakia",'FC inventory'!$C$2:$C999,"Out")</f>
        <v>0</v>
      </c>
      <c r="R5" s="21">
        <f>sumifs('FC inventory'!T2:T999,'FC inventory'!$A$2:$A999,$A$1,'FC inventory'!$B$2:$B999,"Alakia",'FC inventory'!$C$2:$C999,"Out")</f>
        <v>0</v>
      </c>
      <c r="S5" s="21">
        <f>sumifs('FC inventory'!U2:U999,'FC inventory'!$A$2:$A999,$A$1,'FC inventory'!$B$2:$B999,"Alakia",'FC inventory'!$C$2:$C999,"Out")</f>
        <v>0</v>
      </c>
      <c r="T5" s="21">
        <f>sumifs('FC inventory'!V2:V999,'FC inventory'!$A$2:$A999,$A$1,'FC inventory'!$B$2:$B999,"Alakia",'FC inventory'!$C$2:$C999,"Out")</f>
        <v>0</v>
      </c>
      <c r="U5" s="21">
        <f>sumifs('FC inventory'!W2:W999,'FC inventory'!$A$2:$A999,$A$1,'FC inventory'!$B$2:$B999,"Alakia",'FC inventory'!$C$2:$C999,"Out")</f>
        <v>0</v>
      </c>
      <c r="V5" s="21">
        <f>sumifs('FC inventory'!X2:X999,'FC inventory'!$A$2:$A999,$A$1,'FC inventory'!$B$2:$B999,"Alakia",'FC inventory'!$C$2:$C999,"Out")</f>
        <v>0</v>
      </c>
      <c r="W5" s="21">
        <f>sumifs('FC inventory'!Y2:Y999,'FC inventory'!$A$2:$A999,$A$1,'FC inventory'!$B$2:$B999,"Alakia",'FC inventory'!$C$2:$C999,"Out")</f>
        <v>0</v>
      </c>
      <c r="X5" s="21">
        <f>sumifs('FC inventory'!Z2:Z999,'FC inventory'!$A$2:$A999,$A$1,'FC inventory'!$B$2:$B999,"Alakia",'FC inventory'!$C$2:$C999,"Out")</f>
        <v>0</v>
      </c>
      <c r="Y5" s="21">
        <f>sumifs('FC inventory'!AA2:AA999,'FC inventory'!$A$2:$A999,$A$1,'FC inventory'!$B$2:$B999,"Alakia",'FC inventory'!$C$2:$C999,"Out")</f>
        <v>0</v>
      </c>
      <c r="Z5" s="21">
        <f>sumifs('FC inventory'!AB2:AB999,'FC inventory'!$A$2:$A999,$A$1,'FC inventory'!$B$2:$B999,"Alakia",'FC inventory'!$C$2:$C999,"Out")</f>
        <v>0</v>
      </c>
      <c r="AA5" s="21">
        <f>sumifs('FC inventory'!AC2:AC999,'FC inventory'!$A$2:$A999,$A$1,'FC inventory'!$B$2:$B999,"Alakia",'FC inventory'!$C$2:$C999,"Out")</f>
        <v>0</v>
      </c>
      <c r="AB5" s="21">
        <f>sumifs('FC inventory'!AD2:AD999,'FC inventory'!$A$2:$A999,$A$1,'FC inventory'!$B$2:$B999,"Alakia",'FC inventory'!$C$2:$C999,"Out")</f>
        <v>0</v>
      </c>
      <c r="AC5" s="21">
        <f>sumifs('FC inventory'!AE2:AE999,'FC inventory'!$A$2:$A999,$A$1,'FC inventory'!$B$2:$B999,"Alakia",'FC inventory'!$C$2:$C999,"Out")</f>
        <v>0</v>
      </c>
      <c r="AD5" s="21">
        <f>sumifs('FC inventory'!AF2:AF999,'FC inventory'!$A$2:$A999,$A$1,'FC inventory'!$B$2:$B999,"Alakia",'FC inventory'!$C$2:$C999,"Out")</f>
        <v>0</v>
      </c>
      <c r="AE5" s="21">
        <f>sumifs('FC inventory'!AG2:AG999,'FC inventory'!$A$2:$A999,$A$1,'FC inventory'!$B$2:$B999,"Alakia",'FC inventory'!$C$2:$C999,"Out")</f>
        <v>0</v>
      </c>
      <c r="AF5" s="21">
        <f>sumifs('FC inventory'!AH2:AH999,'FC inventory'!$A$2:$A999,$A$1,'FC inventory'!$B$2:$B999,"Alakia",'FC inventory'!$C$2:$C999,"Out")</f>
        <v>0</v>
      </c>
    </row>
    <row r="6">
      <c r="A6" s="20" t="s">
        <v>43</v>
      </c>
      <c r="B6" s="9">
        <f>SUMIFS('FC inventory'!D2:D999,'FC inventory'!$A$2:$A999,$A$1,'FC inventory'!$B$2:$B999,"Alakia",'FC inventory'!$C$2:$C999,"Returned")</f>
        <v>0</v>
      </c>
      <c r="C6" s="9">
        <f>SUMIFS('FC inventory'!E2:E999,'FC inventory'!$A$2:$A999,$A$1,'FC inventory'!$B$2:$B999,"Alakia",'FC inventory'!$C$2:$C999,"Returned")</f>
        <v>0</v>
      </c>
      <c r="D6" s="9">
        <f>SUMIFS('FC inventory'!F2:F999,'FC inventory'!$A$2:$A999,$A$1,'FC inventory'!$B$2:$B999,"Alakia",'FC inventory'!$C$2:$C999,"Returned")</f>
        <v>0</v>
      </c>
      <c r="E6" s="9">
        <f>SUMIFS('FC inventory'!G2:G999,'FC inventory'!$A$2:$A999,$A$1,'FC inventory'!$B$2:$B999,"Alakia",'FC inventory'!$C$2:$C999,"Returned")</f>
        <v>0</v>
      </c>
      <c r="F6" s="9">
        <f>SUMIFS('FC inventory'!H2:H999,'FC inventory'!$A$2:$A999,$A$1,'FC inventory'!$B$2:$B999,"Alakia",'FC inventory'!$C$2:$C999,"Returned")</f>
        <v>0</v>
      </c>
      <c r="G6" s="9">
        <f>SUMIFS('FC inventory'!I2:I999,'FC inventory'!$A$2:$A999,$A$1,'FC inventory'!$B$2:$B999,"Alakia",'FC inventory'!$C$2:$C999,"Returned")</f>
        <v>0</v>
      </c>
      <c r="H6" s="9">
        <f>SUMIFS('FC inventory'!J2:J999,'FC inventory'!$A$2:$A999,$A$1,'FC inventory'!$B$2:$B999,"Alakia",'FC inventory'!$C$2:$C999,"Returned")</f>
        <v>0</v>
      </c>
      <c r="I6" s="9">
        <f>SUMIFS('FC inventory'!K2:K999,'FC inventory'!$A$2:$A999,$A$1,'FC inventory'!$B$2:$B999,"Alakia",'FC inventory'!$C$2:$C999,"Returned")</f>
        <v>0</v>
      </c>
      <c r="J6" s="9">
        <f>SUMIFS('FC inventory'!L2:L999,'FC inventory'!$A$2:$A999,$A$1,'FC inventory'!$B$2:$B999,"Alakia",'FC inventory'!$C$2:$C999,"Returned")</f>
        <v>0</v>
      </c>
      <c r="K6" s="9">
        <f>SUMIFS('FC inventory'!M2:M999,'FC inventory'!$A$2:$A999,$A$1,'FC inventory'!$B$2:$B999,"Alakia",'FC inventory'!$C$2:$C999,"Returned")</f>
        <v>0</v>
      </c>
      <c r="L6" s="9">
        <f>SUMIFS('FC inventory'!N2:N999,'FC inventory'!$A$2:$A999,$A$1,'FC inventory'!$B$2:$B999,"Alakia",'FC inventory'!$C$2:$C999,"Returned")</f>
        <v>0</v>
      </c>
      <c r="M6" s="9">
        <f>SUMIFS('FC inventory'!O2:O999,'FC inventory'!$A$2:$A999,$A$1,'FC inventory'!$B$2:$B999,"Alakia",'FC inventory'!$C$2:$C999,"Returned")</f>
        <v>0</v>
      </c>
      <c r="N6" s="9">
        <f>SUMIFS('FC inventory'!P2:P999,'FC inventory'!$A$2:$A999,$A$1,'FC inventory'!$B$2:$B999,"Alakia",'FC inventory'!$C$2:$C999,"Returned")</f>
        <v>0</v>
      </c>
      <c r="O6" s="9">
        <f>SUMIFS('FC inventory'!Q2:Q999,'FC inventory'!$A$2:$A999,$A$1,'FC inventory'!$B$2:$B999,"Alakia",'FC inventory'!$C$2:$C999,"Returned")</f>
        <v>0</v>
      </c>
      <c r="P6" s="9">
        <f>SUMIFS('FC inventory'!R2:R999,'FC inventory'!$A$2:$A999,$A$1,'FC inventory'!$B$2:$B999,"Alakia",'FC inventory'!$C$2:$C999,"Returned")</f>
        <v>0</v>
      </c>
      <c r="Q6" s="9">
        <f>SUMIFS('FC inventory'!S2:S999,'FC inventory'!$A$2:$A999,$A$1,'FC inventory'!$B$2:$B999,"Alakia",'FC inventory'!$C$2:$C999,"Returned")</f>
        <v>0</v>
      </c>
      <c r="R6" s="9">
        <f>SUMIFS('FC inventory'!T2:T999,'FC inventory'!$A$2:$A999,$A$1,'FC inventory'!$B$2:$B999,"Alakia",'FC inventory'!$C$2:$C999,"Returned")</f>
        <v>0</v>
      </c>
      <c r="S6" s="9">
        <f>SUMIFS('FC inventory'!U2:U999,'FC inventory'!$A$2:$A999,$A$1,'FC inventory'!$B$2:$B999,"Alakia",'FC inventory'!$C$2:$C999,"Returned")</f>
        <v>0</v>
      </c>
      <c r="T6" s="9">
        <f>SUMIFS('FC inventory'!V2:V999,'FC inventory'!$A$2:$A999,$A$1,'FC inventory'!$B$2:$B999,"Alakia",'FC inventory'!$C$2:$C999,"Returned")</f>
        <v>0</v>
      </c>
      <c r="U6" s="9">
        <f>SUMIFS('FC inventory'!W2:W999,'FC inventory'!$A$2:$A999,$A$1,'FC inventory'!$B$2:$B999,"Alakia",'FC inventory'!$C$2:$C999,"Returned")</f>
        <v>0</v>
      </c>
      <c r="V6" s="9">
        <f>SUMIFS('FC inventory'!X2:X999,'FC inventory'!$A$2:$A999,$A$1,'FC inventory'!$B$2:$B999,"Alakia",'FC inventory'!$C$2:$C999,"Returned")</f>
        <v>0</v>
      </c>
      <c r="W6" s="9">
        <f>SUMIFS('FC inventory'!Y2:Y999,'FC inventory'!$A$2:$A999,$A$1,'FC inventory'!$B$2:$B999,"Alakia",'FC inventory'!$C$2:$C999,"Returned")</f>
        <v>0</v>
      </c>
      <c r="X6" s="9">
        <f>SUMIFS('FC inventory'!Z2:Z999,'FC inventory'!$A$2:$A999,$A$1,'FC inventory'!$B$2:$B999,"Alakia",'FC inventory'!$C$2:$C999,"Returned")</f>
        <v>0</v>
      </c>
      <c r="Y6" s="9">
        <f>SUMIFS('FC inventory'!AA2:AA999,'FC inventory'!$A$2:$A999,$A$1,'FC inventory'!$B$2:$B999,"Alakia",'FC inventory'!$C$2:$C999,"Returned")</f>
        <v>0</v>
      </c>
      <c r="Z6" s="9">
        <f>SUMIFS('FC inventory'!AB2:AB999,'FC inventory'!$A$2:$A999,$A$1,'FC inventory'!$B$2:$B999,"Alakia",'FC inventory'!$C$2:$C999,"Returned")</f>
        <v>0</v>
      </c>
      <c r="AA6" s="9">
        <f>SUMIFS('FC inventory'!AC2:AC999,'FC inventory'!$A$2:$A999,$A$1,'FC inventory'!$B$2:$B999,"Alakia",'FC inventory'!$C$2:$C999,"Returned")</f>
        <v>0</v>
      </c>
      <c r="AB6" s="9">
        <f>SUMIFS('FC inventory'!AD2:AD999,'FC inventory'!$A$2:$A999,$A$1,'FC inventory'!$B$2:$B999,"Alakia",'FC inventory'!$C$2:$C999,"Returned")</f>
        <v>0</v>
      </c>
      <c r="AC6" s="9">
        <f>SUMIFS('FC inventory'!AE2:AE999,'FC inventory'!$A$2:$A999,$A$1,'FC inventory'!$B$2:$B999,"Alakia",'FC inventory'!$C$2:$C999,"Returned")</f>
        <v>0</v>
      </c>
      <c r="AD6" s="9">
        <f>SUMIFS('FC inventory'!AF2:AF999,'FC inventory'!$A$2:$A999,$A$1,'FC inventory'!$B$2:$B999,"Alakia",'FC inventory'!$C$2:$C999,"Returned")</f>
        <v>0</v>
      </c>
      <c r="AE6" s="9">
        <f>SUMIFS('FC inventory'!AG2:AG999,'FC inventory'!$A$2:$A999,$A$1,'FC inventory'!$B$2:$B999,"Alakia",'FC inventory'!$C$2:$C999,"Returned")</f>
        <v>0</v>
      </c>
      <c r="AF6" s="9">
        <f>SUMIFS('FC inventory'!AH2:AH999,'FC inventory'!$A$2:$A999,$A$1,'FC inventory'!$B$2:$B999,"Alakia",'FC inventory'!$C$2:$C999,"Returned")</f>
        <v>0</v>
      </c>
    </row>
    <row r="7">
      <c r="A7" s="23" t="s">
        <v>44</v>
      </c>
      <c r="B7" s="24">
        <f t="shared" ref="B7:AF7" si="1">B3+B4-B5+B6</f>
        <v>0</v>
      </c>
      <c r="C7" s="24">
        <f t="shared" si="1"/>
        <v>3</v>
      </c>
      <c r="D7" s="24">
        <f t="shared" si="1"/>
        <v>0</v>
      </c>
      <c r="E7" s="24">
        <f t="shared" si="1"/>
        <v>0</v>
      </c>
      <c r="F7" s="24">
        <f t="shared" si="1"/>
        <v>0</v>
      </c>
      <c r="G7" s="24">
        <f t="shared" si="1"/>
        <v>25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1</v>
      </c>
      <c r="N7" s="24">
        <f t="shared" si="1"/>
        <v>0</v>
      </c>
      <c r="O7" s="24">
        <f t="shared" si="1"/>
        <v>11</v>
      </c>
      <c r="P7" s="24">
        <f t="shared" si="1"/>
        <v>6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12</v>
      </c>
      <c r="V7" s="24">
        <f t="shared" si="1"/>
        <v>0</v>
      </c>
      <c r="W7" s="24">
        <f t="shared" si="1"/>
        <v>0</v>
      </c>
      <c r="X7" s="24">
        <f t="shared" si="1"/>
        <v>0</v>
      </c>
      <c r="Y7" s="24">
        <f t="shared" si="1"/>
        <v>1</v>
      </c>
      <c r="Z7" s="24">
        <f t="shared" si="1"/>
        <v>2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  <row r="18">
      <c r="AA18" s="7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inventory'!D2:D984,'FC inventory'!$A$2:$A984,"&lt;"&amp;$A$1,'FC inventory'!$B$2:$B984,"Bashorun",'FC inventory'!$C$2:$C984,"In")-sumifs('FC inventory'!D2:D984,'FC inventory'!$A$2:$A984,"&lt;"&amp;$A$1,'FC inventory'!$B$2:$B984,"Bashorun",'FC inventory'!$C$2:$C984,"Out")+SUMIFS('FC inventory'!D2:D984,'FC inventory'!$A$2:$A984,"&lt;"&amp;$A$1,'FC inventory'!$B$2:$B984,"Bashorun",'FC inventory'!$C$2:$C984,"Returned")</f>
        <v>0</v>
      </c>
      <c r="C3" s="9">
        <f>sumifs('FC inventory'!E2:E984,'FC inventory'!$A$2:$A984,"&lt;"&amp;$A$1,'FC inventory'!$B$2:$B984,"Bashorun",'FC inventory'!$C$2:$C984,"In")-sumifs('FC inventory'!E2:E984,'FC inventory'!$A$2:$A984,"&lt;"&amp;$A$1,'FC inventory'!$B$2:$B984,"Bashorun",'FC inventory'!$C$2:$C984,"Out")+SUMIFS('FC inventory'!E2:E984,'FC inventory'!$A$2:$A984,"&lt;"&amp;$A$1,'FC inventory'!$B$2:$B984,"Bashorun",'FC inventory'!$C$2:$C984,"Returned")</f>
        <v>0</v>
      </c>
      <c r="D3" s="9">
        <f>sumifs('FC inventory'!F2:F984,'FC inventory'!$A$2:$A984,"&lt;"&amp;$A$1,'FC inventory'!$B$2:$B984,"Bashorun",'FC inventory'!$C$2:$C984,"In")-sumifs('FC inventory'!F2:F984,'FC inventory'!$A$2:$A984,"&lt;"&amp;$A$1,'FC inventory'!$B$2:$B984,"Bashorun",'FC inventory'!$C$2:$C984,"Out")+SUMIFS('FC inventory'!F2:F984,'FC inventory'!$A$2:$A984,"&lt;"&amp;$A$1,'FC inventory'!$B$2:$B984,"Bashorun",'FC inventory'!$C$2:$C984,"Returned")</f>
        <v>1</v>
      </c>
      <c r="E3" s="9">
        <f>sumifs('FC inventory'!G2:G984,'FC inventory'!$A$2:$A984,"&lt;"&amp;$A$1,'FC inventory'!$B$2:$B984,"Bashorun",'FC inventory'!$C$2:$C984,"In")-sumifs('FC inventory'!G2:G984,'FC inventory'!$A$2:$A984,"&lt;"&amp;$A$1,'FC inventory'!$B$2:$B984,"Bashorun",'FC inventory'!$C$2:$C984,"Out")+SUMIFS('FC inventory'!G2:G984,'FC inventory'!$A$2:$A984,"&lt;"&amp;$A$1,'FC inventory'!$B$2:$B984,"Bashorun",'FC inventory'!$C$2:$C984,"Returned")</f>
        <v>0</v>
      </c>
      <c r="F3" s="9">
        <f>sumifs('FC inventory'!H2:H984,'FC inventory'!$A$2:$A984,"&lt;"&amp;$A$1,'FC inventory'!$B$2:$B984,"Bashorun",'FC inventory'!$C$2:$C984,"In")-sumifs('FC inventory'!H2:H984,'FC inventory'!$A$2:$A984,"&lt;"&amp;$A$1,'FC inventory'!$B$2:$B984,"Bashorun",'FC inventory'!$C$2:$C984,"Out")+SUMIFS('FC inventory'!H2:H984,'FC inventory'!$A$2:$A984,"&lt;"&amp;$A$1,'FC inventory'!$B$2:$B984,"Bashorun",'FC inventory'!$C$2:$C984,"Returned")</f>
        <v>0</v>
      </c>
      <c r="G3" s="9">
        <f>sumifs('FC inventory'!I2:I984,'FC inventory'!$A$2:$A984,"&lt;"&amp;$A$1,'FC inventory'!$B$2:$B984,"Bashorun",'FC inventory'!$C$2:$C984,"In")-sumifs('FC inventory'!I2:I984,'FC inventory'!$A$2:$A984,"&lt;"&amp;$A$1,'FC inventory'!$B$2:$B984,"Bashorun",'FC inventory'!$C$2:$C984,"Out")+SUMIFS('FC inventory'!I2:I984,'FC inventory'!$A$2:$A984,"&lt;"&amp;$A$1,'FC inventory'!$B$2:$B984,"Bashorun",'FC inventory'!$C$2:$C984,"Returned")</f>
        <v>42</v>
      </c>
      <c r="H3" s="9">
        <f>sumifs('FC inventory'!J2:J984,'FC inventory'!$A$2:$A984,"&lt;"&amp;$A$1,'FC inventory'!$B$2:$B984,"Bashorun",'FC inventory'!$C$2:$C984,"In")-sumifs('FC inventory'!J2:J984,'FC inventory'!$A$2:$A984,"&lt;"&amp;$A$1,'FC inventory'!$B$2:$B984,"Bashorun",'FC inventory'!$C$2:$C984,"Out")+SUMIFS('FC inventory'!J2:J984,'FC inventory'!$A$2:$A984,"&lt;"&amp;$A$1,'FC inventory'!$B$2:$B984,"Bashorun",'FC inventory'!$C$2:$C984,"Returned")</f>
        <v>0</v>
      </c>
      <c r="I3" s="9">
        <f>sumifs('FC inventory'!K2:K984,'FC inventory'!$A$2:$A984,"&lt;"&amp;$A$1,'FC inventory'!$B$2:$B984,"Bashorun",'FC inventory'!$C$2:$C984,"In")-sumifs('FC inventory'!K2:K984,'FC inventory'!$A$2:$A984,"&lt;"&amp;$A$1,'FC inventory'!$B$2:$B984,"Bashorun",'FC inventory'!$C$2:$C984,"Out")+SUMIFS('FC inventory'!K2:K984,'FC inventory'!$A$2:$A984,"&lt;"&amp;$A$1,'FC inventory'!$B$2:$B984,"Bashorun",'FC inventory'!$C$2:$C984,"Returned")</f>
        <v>0</v>
      </c>
      <c r="J3" s="9">
        <f>sumifs('FC inventory'!L2:L984,'FC inventory'!$A$2:$A984,"&lt;"&amp;$A$1,'FC inventory'!$B$2:$B984,"Bashorun",'FC inventory'!$C$2:$C984,"In")-sumifs('FC inventory'!L2:L984,'FC inventory'!$A$2:$A984,"&lt;"&amp;$A$1,'FC inventory'!$B$2:$B984,"Bashorun",'FC inventory'!$C$2:$C984,"Out")+SUMIFS('FC inventory'!L2:L984,'FC inventory'!$A$2:$A984,"&lt;"&amp;$A$1,'FC inventory'!$B$2:$B984,"Bashorun",'FC inventory'!$C$2:$C984,"Returned")</f>
        <v>0</v>
      </c>
      <c r="K3" s="9">
        <f>sumifs('FC inventory'!M2:M984,'FC inventory'!$A$2:$A984,"&lt;"&amp;$A$1,'FC inventory'!$B$2:$B984,"Bashorun",'FC inventory'!$C$2:$C984,"In")-sumifs('FC inventory'!M2:M984,'FC inventory'!$A$2:$A984,"&lt;"&amp;$A$1,'FC inventory'!$B$2:$B984,"Bashorun",'FC inventory'!$C$2:$C984,"Out")+SUMIFS('FC inventory'!M2:M984,'FC inventory'!$A$2:$A984,"&lt;"&amp;$A$1,'FC inventory'!$B$2:$B984,"Bashorun",'FC inventory'!$C$2:$C984,"Returned")</f>
        <v>0</v>
      </c>
      <c r="L3" s="9">
        <f>sumifs('FC inventory'!N2:N984,'FC inventory'!$A$2:$A984,"&lt;"&amp;$A$1,'FC inventory'!$B$2:$B984,"Bashorun",'FC inventory'!$C$2:$C984,"In")-sumifs('FC inventory'!N2:N984,'FC inventory'!$A$2:$A984,"&lt;"&amp;$A$1,'FC inventory'!$B$2:$B984,"Bashorun",'FC inventory'!$C$2:$C984,"Out")+SUMIFS('FC inventory'!N2:N984,'FC inventory'!$A$2:$A984,"&lt;"&amp;$A$1,'FC inventory'!$B$2:$B984,"Bashorun",'FC inventory'!$C$2:$C984,"Returned")</f>
        <v>0</v>
      </c>
      <c r="M3" s="9">
        <f>sumifs('FC inventory'!O2:O984,'FC inventory'!$A$2:$A984,"&lt;"&amp;$A$1,'FC inventory'!$B$2:$B984,"Bashorun",'FC inventory'!$C$2:$C984,"In")-sumifs('FC inventory'!O2:O984,'FC inventory'!$A$2:$A984,"&lt;"&amp;$A$1,'FC inventory'!$B$2:$B984,"Bashorun",'FC inventory'!$C$2:$C984,"Out")+SUMIFS('FC inventory'!O2:O984,'FC inventory'!$A$2:$A984,"&lt;"&amp;$A$1,'FC inventory'!$B$2:$B984,"Bashorun",'FC inventory'!$C$2:$C984,"Returned")</f>
        <v>0</v>
      </c>
      <c r="N3" s="9">
        <f>sumifs('FC inventory'!P2:P984,'FC inventory'!$A$2:$A984,"&lt;"&amp;$A$1,'FC inventory'!$B$2:$B984,"Bashorun",'FC inventory'!$C$2:$C984,"In")-sumifs('FC inventory'!P2:P984,'FC inventory'!$A$2:$A984,"&lt;"&amp;$A$1,'FC inventory'!$B$2:$B984,"Bashorun",'FC inventory'!$C$2:$C984,"Out")+SUMIFS('FC inventory'!P2:P984,'FC inventory'!$A$2:$A984,"&lt;"&amp;$A$1,'FC inventory'!$B$2:$B984,"Bashorun",'FC inventory'!$C$2:$C984,"Returned")</f>
        <v>0</v>
      </c>
      <c r="O3" s="9">
        <f>sumifs('FC inventory'!Q2:Q984,'FC inventory'!$A$2:$A984,"&lt;"&amp;$A$1,'FC inventory'!$B$2:$B984,"Bashorun",'FC inventory'!$C$2:$C984,"In")-sumifs('FC inventory'!Q2:Q984,'FC inventory'!$A$2:$A984,"&lt;"&amp;$A$1,'FC inventory'!$B$2:$B984,"Bashorun",'FC inventory'!$C$2:$C984,"Out")+SUMIFS('FC inventory'!Q2:Q984,'FC inventory'!$A$2:$A984,"&lt;"&amp;$A$1,'FC inventory'!$B$2:$B984,"Bashorun",'FC inventory'!$C$2:$C984,"Returned")</f>
        <v>9</v>
      </c>
      <c r="P3" s="9">
        <f>sumifs('FC inventory'!R2:R984,'FC inventory'!$A$2:$A984,"&lt;"&amp;$A$1,'FC inventory'!$B$2:$B984,"Bashorun",'FC inventory'!$C$2:$C984,"In")-sumifs('FC inventory'!R2:R984,'FC inventory'!$A$2:$A984,"&lt;"&amp;$A$1,'FC inventory'!$B$2:$B984,"Bashorun",'FC inventory'!$C$2:$C984,"Out")+SUMIFS('FC inventory'!R2:R984,'FC inventory'!$A$2:$A984,"&lt;"&amp;$A$1,'FC inventory'!$B$2:$B984,"Bashorun",'FC inventory'!$C$2:$C984,"Returned")</f>
        <v>12</v>
      </c>
      <c r="Q3" s="9">
        <f>sumifs('FC inventory'!S2:S984,'FC inventory'!$A$2:$A984,"&lt;"&amp;$A$1,'FC inventory'!$B$2:$B984,"Bashorun",'FC inventory'!$C$2:$C984,"In")-sumifs('FC inventory'!S2:S984,'FC inventory'!$A$2:$A984,"&lt;"&amp;$A$1,'FC inventory'!$B$2:$B984,"Bashorun",'FC inventory'!$C$2:$C984,"Out")+SUMIFS('FC inventory'!S2:S984,'FC inventory'!$A$2:$A984,"&lt;"&amp;$A$1,'FC inventory'!$B$2:$B984,"Bashorun",'FC inventory'!$C$2:$C984,"Returned")</f>
        <v>0</v>
      </c>
      <c r="R3" s="9">
        <f>sumifs('FC inventory'!T2:T984,'FC inventory'!$A$2:$A984,"&lt;"&amp;$A$1,'FC inventory'!$B$2:$B984,"Bashorun",'FC inventory'!$C$2:$C984,"In")-sumifs('FC inventory'!T2:T984,'FC inventory'!$A$2:$A984,"&lt;"&amp;$A$1,'FC inventory'!$B$2:$B984,"Bashorun",'FC inventory'!$C$2:$C984,"Out")+SUMIFS('FC inventory'!T2:T984,'FC inventory'!$A$2:$A984,"&lt;"&amp;$A$1,'FC inventory'!$B$2:$B984,"Bashorun",'FC inventory'!$C$2:$C984,"Returned")</f>
        <v>0</v>
      </c>
      <c r="S3" s="9">
        <f>sumifs('FC inventory'!U2:U984,'FC inventory'!$A$2:$A984,"&lt;"&amp;$A$1,'FC inventory'!$B$2:$B984,"Bashorun",'FC inventory'!$C$2:$C984,"In")-sumifs('FC inventory'!U2:U984,'FC inventory'!$A$2:$A984,"&lt;"&amp;$A$1,'FC inventory'!$B$2:$B984,"Bashorun",'FC inventory'!$C$2:$C984,"Out")+SUMIFS('FC inventory'!U2:U984,'FC inventory'!$A$2:$A984,"&lt;"&amp;$A$1,'FC inventory'!$B$2:$B984,"Bashorun",'FC inventory'!$C$2:$C984,"Returned")</f>
        <v>0</v>
      </c>
      <c r="T3" s="9">
        <f>sumifs('FC inventory'!V2:V984,'FC inventory'!$A$2:$A984,"&lt;"&amp;$A$1,'FC inventory'!$B$2:$B984,"Bashorun",'FC inventory'!$C$2:$C984,"In")-sumifs('FC inventory'!V2:V984,'FC inventory'!$A$2:$A984,"&lt;"&amp;$A$1,'FC inventory'!$B$2:$B984,"Bashorun",'FC inventory'!$C$2:$C984,"Out")+SUMIFS('FC inventory'!V2:V984,'FC inventory'!$A$2:$A984,"&lt;"&amp;$A$1,'FC inventory'!$B$2:$B984,"Bashorun",'FC inventory'!$C$2:$C984,"Returned")</f>
        <v>0</v>
      </c>
      <c r="U3" s="9">
        <f>sumifs('FC inventory'!W2:W984,'FC inventory'!$A$2:$A984,"&lt;"&amp;$A$1,'FC inventory'!$B$2:$B984,"Bashorun",'FC inventory'!$C$2:$C984,"In")-sumifs('FC inventory'!W2:W984,'FC inventory'!$A$2:$A984,"&lt;"&amp;$A$1,'FC inventory'!$B$2:$B984,"Bashorun",'FC inventory'!$C$2:$C984,"Out")+SUMIFS('FC inventory'!W2:W984,'FC inventory'!$A$2:$A984,"&lt;"&amp;$A$1,'FC inventory'!$B$2:$B984,"Bashorun",'FC inventory'!$C$2:$C984,"Returned")</f>
        <v>19</v>
      </c>
      <c r="V3" s="9">
        <f>sumifs('FC inventory'!X2:X984,'FC inventory'!$A$2:$A984,"&lt;"&amp;$A$1,'FC inventory'!$B$2:$B984,"Bashorun",'FC inventory'!$C$2:$C984,"In")-sumifs('FC inventory'!X2:X984,'FC inventory'!$A$2:$A984,"&lt;"&amp;$A$1,'FC inventory'!$B$2:$B984,"Bashorun",'FC inventory'!$C$2:$C984,"Out")+SUMIFS('FC inventory'!X2:X984,'FC inventory'!$A$2:$A984,"&lt;"&amp;$A$1,'FC inventory'!$B$2:$B984,"Bashorun",'FC inventory'!$C$2:$C984,"Returned")</f>
        <v>0</v>
      </c>
      <c r="W3" s="9">
        <f>sumifs('FC inventory'!Y2:Y984,'FC inventory'!$A$2:$A984,"&lt;"&amp;$A$1,'FC inventory'!$B$2:$B984,"Bashorun",'FC inventory'!$C$2:$C984,"In")-sumifs('FC inventory'!Y2:Y984,'FC inventory'!$A$2:$A984,"&lt;"&amp;$A$1,'FC inventory'!$B$2:$B984,"Bashorun",'FC inventory'!$C$2:$C984,"Out")+SUMIFS('FC inventory'!Y2:Y984,'FC inventory'!$A$2:$A984,"&lt;"&amp;$A$1,'FC inventory'!$B$2:$B984,"Bashorun",'FC inventory'!$C$2:$C984,"Returned")</f>
        <v>0</v>
      </c>
      <c r="X3" s="9">
        <f>sumifs('FC inventory'!Z2:Z984,'FC inventory'!$A$2:$A984,"&lt;"&amp;$A$1,'FC inventory'!$B$2:$B984,"Bashorun",'FC inventory'!$C$2:$C984,"In")-sumifs('FC inventory'!Z2:Z984,'FC inventory'!$A$2:$A984,"&lt;"&amp;$A$1,'FC inventory'!$B$2:$B984,"Bashorun",'FC inventory'!$C$2:$C984,"Out")+SUMIFS('FC inventory'!Z2:Z984,'FC inventory'!$A$2:$A984,"&lt;"&amp;$A$1,'FC inventory'!$B$2:$B984,"Bashorun",'FC inventory'!$C$2:$C984,"Returned")</f>
        <v>0</v>
      </c>
      <c r="Y3" s="9">
        <f>sumifs('FC inventory'!AA2:AA984,'FC inventory'!$A$2:$A984,"&lt;"&amp;$A$1,'FC inventory'!$B$2:$B984,"Bashorun",'FC inventory'!$C$2:$C984,"In")-sumifs('FC inventory'!AA2:AA984,'FC inventory'!$A$2:$A984,"&lt;"&amp;$A$1,'FC inventory'!$B$2:$B984,"Bashorun",'FC inventory'!$C$2:$C984,"Out")+SUMIFS('FC inventory'!AA2:AA984,'FC inventory'!$A$2:$A984,"&lt;"&amp;$A$1,'FC inventory'!$B$2:$B984,"Bashorun",'FC inventory'!$C$2:$C984,"Returned")</f>
        <v>0</v>
      </c>
      <c r="Z3" s="9">
        <f>sumifs('FC inventory'!AB2:AB984,'FC inventory'!$A$2:$A984,"&lt;"&amp;$A$1,'FC inventory'!$B$2:$B984,"Bashorun",'FC inventory'!$C$2:$C984,"In")-sumifs('FC inventory'!AB2:AB984,'FC inventory'!$A$2:$A984,"&lt;"&amp;$A$1,'FC inventory'!$B$2:$B984,"Bashorun",'FC inventory'!$C$2:$C984,"Out")+SUMIFS('FC inventory'!AB2:AB984,'FC inventory'!$A$2:$A984,"&lt;"&amp;$A$1,'FC inventory'!$B$2:$B984,"Bashorun",'FC inventory'!$C$2:$C984,"Returned")</f>
        <v>4</v>
      </c>
      <c r="AA3" s="9">
        <f>sumifs('FC inventory'!AC2:AC984,'FC inventory'!$A$2:$A984,"&lt;"&amp;$A$1,'FC inventory'!$B$2:$B984,"Bashorun",'FC inventory'!$C$2:$C984,"In")-sumifs('FC inventory'!AC2:AC984,'FC inventory'!$A$2:$A984,"&lt;"&amp;$A$1,'FC inventory'!$B$2:$B984,"Bashorun",'FC inventory'!$C$2:$C984,"Out")+SUMIFS('FC inventory'!AC2:AC984,'FC inventory'!$A$2:$A984,"&lt;"&amp;$A$1,'FC inventory'!$B$2:$B984,"Bashorun",'FC inventory'!$C$2:$C984,"Returned")</f>
        <v>0</v>
      </c>
      <c r="AB3" s="9">
        <f>sumifs('FC inventory'!AD2:AD984,'FC inventory'!$A$2:$A984,"&lt;"&amp;$A$1,'FC inventory'!$B$2:$B984,"Bashorun",'FC inventory'!$C$2:$C984,"In")-sumifs('FC inventory'!AD2:AD984,'FC inventory'!$A$2:$A984,"&lt;"&amp;$A$1,'FC inventory'!$B$2:$B984,"Bashorun",'FC inventory'!$C$2:$C984,"Out")+SUMIFS('FC inventory'!AD2:AD984,'FC inventory'!$A$2:$A984,"&lt;"&amp;$A$1,'FC inventory'!$B$2:$B984,"Bashorun",'FC inventory'!$C$2:$C984,"Returned")</f>
        <v>0</v>
      </c>
      <c r="AC3" s="9">
        <f>sumifs('FC inventory'!AE2:AE984,'FC inventory'!$A$2:$A984,"&lt;"&amp;$A$1,'FC inventory'!$B$2:$B984,"Bashorun",'FC inventory'!$C$2:$C984,"In")-sumifs('FC inventory'!AE2:AE984,'FC inventory'!$A$2:$A984,"&lt;"&amp;$A$1,'FC inventory'!$B$2:$B984,"Bashorun",'FC inventory'!$C$2:$C984,"Out")+SUMIFS('FC inventory'!AE2:AE984,'FC inventory'!$A$2:$A984,"&lt;"&amp;$A$1,'FC inventory'!$B$2:$B984,"Bashorun",'FC inventory'!$C$2:$C984,"Returned")</f>
        <v>0</v>
      </c>
      <c r="AD3" s="9">
        <f>sumifs('FC inventory'!AF2:AF984,'FC inventory'!$A$2:$A984,"&lt;"&amp;$A$1,'FC inventory'!$B$2:$B984,"Bashorun",'FC inventory'!$C$2:$C984,"In")-sumifs('FC inventory'!AF2:AF984,'FC inventory'!$A$2:$A984,"&lt;"&amp;$A$1,'FC inventory'!$B$2:$B984,"Bashorun",'FC inventory'!$C$2:$C984,"Out")+SUMIFS('FC inventory'!AF2:AF984,'FC inventory'!$A$2:$A984,"&lt;"&amp;$A$1,'FC inventory'!$B$2:$B984,"Bashorun",'FC inventory'!$C$2:$C984,"Returned")</f>
        <v>0</v>
      </c>
      <c r="AE3" s="9">
        <f>sumifs('FC inventory'!AG2:AG984,'FC inventory'!$A$2:$A984,"&lt;"&amp;$A$1,'FC inventory'!$B$2:$B984,"Bashorun",'FC inventory'!$C$2:$C984,"In")-sumifs('FC inventory'!AG2:AG984,'FC inventory'!$A$2:$A984,"&lt;"&amp;$A$1,'FC inventory'!$B$2:$B984,"Bashorun",'FC inventory'!$C$2:$C984,"Out")+SUMIFS('FC inventory'!AG2:AG984,'FC inventory'!$A$2:$A984,"&lt;"&amp;$A$1,'FC inventory'!$B$2:$B984,"Bashorun",'FC inventory'!$C$2:$C984,"Returned")</f>
        <v>0</v>
      </c>
      <c r="AF3" s="9">
        <f>sumifs('FC inventory'!AH2:AH984,'FC inventory'!$A$2:$A984,"&lt;"&amp;$A$1,'FC inventory'!$B$2:$B984,"Bashorun",'FC inventory'!$C$2:$C984,"In")-sumifs('FC inventory'!AH2:AH984,'FC inventory'!$A$2:$A984,"&lt;"&amp;$A$1,'FC inventory'!$B$2:$B984,"Bashorun",'FC inventory'!$C$2:$C984,"Out")+SUMIFS('FC inventory'!AH2:AH984,'FC inventory'!$A$2:$A984,"&lt;"&amp;$A$1,'FC inventory'!$B$2:$B984,"Bashorun",'FC inventory'!$C$2:$C984,"Returned")</f>
        <v>0</v>
      </c>
    </row>
    <row r="4">
      <c r="A4" s="20" t="s">
        <v>35</v>
      </c>
      <c r="B4" s="21">
        <f>sumifs('FC inventory'!D2:D984,'FC inventory'!$A$2:$A984,$A$1,'FC inventory'!$B$2:$B984,"Bashorun",'FC inventory'!$C$2:$C984,"In")</f>
        <v>0</v>
      </c>
      <c r="C4" s="21">
        <f>sumifs('FC inventory'!E2:E984,'FC inventory'!$A$2:$A984,$A$1,'FC inventory'!$B$2:$B984,"Bashorun",'FC inventory'!$C$2:$C984,"In")</f>
        <v>0</v>
      </c>
      <c r="D4" s="21">
        <f>sumifs('FC inventory'!F2:F984,'FC inventory'!$A$2:$A984,$A$1,'FC inventory'!$B$2:$B984,"Bashorun",'FC inventory'!$C$2:$C984,"In")</f>
        <v>0</v>
      </c>
      <c r="E4" s="21">
        <f>sumifs('FC inventory'!G2:G984,'FC inventory'!$A$2:$A984,$A$1,'FC inventory'!$B$2:$B984,"Bashorun",'FC inventory'!$C$2:$C984,"In")</f>
        <v>0</v>
      </c>
      <c r="F4" s="21">
        <f>sumifs('FC inventory'!H2:H984,'FC inventory'!$A$2:$A984,$A$1,'FC inventory'!$B$2:$B984,"Bashorun",'FC inventory'!$C$2:$C984,"In")</f>
        <v>0</v>
      </c>
      <c r="G4" s="21">
        <f>sumifs('FC inventory'!I2:I984,'FC inventory'!$A$2:$A984,$A$1,'FC inventory'!$B$2:$B984,"Bashorun",'FC inventory'!$C$2:$C984,"In")</f>
        <v>0</v>
      </c>
      <c r="H4" s="21">
        <f>sumifs('FC inventory'!J2:J984,'FC inventory'!$A$2:$A984,$A$1,'FC inventory'!$B$2:$B984,"Bashorun",'FC inventory'!$C$2:$C984,"In")</f>
        <v>0</v>
      </c>
      <c r="I4" s="21">
        <f>sumifs('FC inventory'!K2:K984,'FC inventory'!$A$2:$A984,$A$1,'FC inventory'!$B$2:$B984,"Bashorun",'FC inventory'!$C$2:$C984,"In")</f>
        <v>0</v>
      </c>
      <c r="J4" s="21">
        <f>sumifs('FC inventory'!L2:L984,'FC inventory'!$A$2:$A984,$A$1,'FC inventory'!$B$2:$B984,"Bashorun",'FC inventory'!$C$2:$C984,"In")</f>
        <v>0</v>
      </c>
      <c r="K4" s="21">
        <f>sumifs('FC inventory'!M2:M984,'FC inventory'!$A$2:$A984,$A$1,'FC inventory'!$B$2:$B984,"Bashorun",'FC inventory'!$C$2:$C984,"In")</f>
        <v>0</v>
      </c>
      <c r="L4" s="21">
        <f>sumifs('FC inventory'!N2:N984,'FC inventory'!$A$2:$A984,$A$1,'FC inventory'!$B$2:$B984,"Bashorun",'FC inventory'!$C$2:$C984,"In")</f>
        <v>0</v>
      </c>
      <c r="M4" s="21">
        <f>sumifs('FC inventory'!O2:O984,'FC inventory'!$A$2:$A984,$A$1,'FC inventory'!$B$2:$B984,"Bashorun",'FC inventory'!$C$2:$C984,"In")</f>
        <v>0</v>
      </c>
      <c r="N4" s="21">
        <f>sumifs('FC inventory'!P2:P984,'FC inventory'!$A$2:$A984,$A$1,'FC inventory'!$B$2:$B984,"Bashorun",'FC inventory'!$C$2:$C984,"In")</f>
        <v>0</v>
      </c>
      <c r="O4" s="21">
        <f>sumifs('FC inventory'!Q2:Q984,'FC inventory'!$A$2:$A984,$A$1,'FC inventory'!$B$2:$B984,"Bashorun",'FC inventory'!$C$2:$C984,"In")</f>
        <v>0</v>
      </c>
      <c r="P4" s="21">
        <f>sumifs('FC inventory'!R2:R984,'FC inventory'!$A$2:$A984,$A$1,'FC inventory'!$B$2:$B984,"Bashorun",'FC inventory'!$C$2:$C984,"In")</f>
        <v>0</v>
      </c>
      <c r="Q4" s="21">
        <f>sumifs('FC inventory'!S2:S984,'FC inventory'!$A$2:$A984,$A$1,'FC inventory'!$B$2:$B984,"Bashorun",'FC inventory'!$C$2:$C984,"In")</f>
        <v>0</v>
      </c>
      <c r="R4" s="21">
        <f>sumifs('FC inventory'!T2:T984,'FC inventory'!$A$2:$A984,$A$1,'FC inventory'!$B$2:$B984,"Bashorun",'FC inventory'!$C$2:$C984,"In")</f>
        <v>0</v>
      </c>
      <c r="S4" s="21">
        <f>sumifs('FC inventory'!U2:U984,'FC inventory'!$A$2:$A984,$A$1,'FC inventory'!$B$2:$B984,"Bashorun",'FC inventory'!$C$2:$C984,"In")</f>
        <v>0</v>
      </c>
      <c r="T4" s="21">
        <f>sumifs('FC inventory'!V2:V984,'FC inventory'!$A$2:$A984,$A$1,'FC inventory'!$B$2:$B984,"Bashorun",'FC inventory'!$C$2:$C984,"In")</f>
        <v>0</v>
      </c>
      <c r="U4" s="21">
        <f>sumifs('FC inventory'!W2:W984,'FC inventory'!$A$2:$A984,$A$1,'FC inventory'!$B$2:$B984,"Bashorun",'FC inventory'!$C$2:$C984,"In")</f>
        <v>0</v>
      </c>
      <c r="V4" s="21">
        <f>sumifs('FC inventory'!X2:X984,'FC inventory'!$A$2:$A984,$A$1,'FC inventory'!$B$2:$B984,"Bashorun",'FC inventory'!$C$2:$C984,"In")</f>
        <v>0</v>
      </c>
      <c r="W4" s="21">
        <f>sumifs('FC inventory'!Y2:Y984,'FC inventory'!$A$2:$A984,$A$1,'FC inventory'!$B$2:$B984,"Bashorun",'FC inventory'!$C$2:$C984,"In")</f>
        <v>0</v>
      </c>
      <c r="X4" s="21">
        <f>sumifs('FC inventory'!Z2:Z984,'FC inventory'!$A$2:$A984,$A$1,'FC inventory'!$B$2:$B984,"Bashorun",'FC inventory'!$C$2:$C984,"In")</f>
        <v>0</v>
      </c>
      <c r="Y4" s="21">
        <f>sumifs('FC inventory'!AA2:AA984,'FC inventory'!$A$2:$A984,$A$1,'FC inventory'!$B$2:$B984,"Bashorun",'FC inventory'!$C$2:$C984,"In")</f>
        <v>0</v>
      </c>
      <c r="Z4" s="21">
        <f>sumifs('FC inventory'!AB2:AB984,'FC inventory'!$A$2:$A984,$A$1,'FC inventory'!$B$2:$B984,"Bashorun",'FC inventory'!$C$2:$C984,"In")</f>
        <v>0</v>
      </c>
      <c r="AA4" s="21">
        <f>sumifs('FC inventory'!AC2:AC984,'FC inventory'!$A$2:$A984,$A$1,'FC inventory'!$B$2:$B984,"Bashorun",'FC inventory'!$C$2:$C984,"In")</f>
        <v>0</v>
      </c>
      <c r="AB4" s="21">
        <f>sumifs('FC inventory'!AD2:AD984,'FC inventory'!$A$2:$A984,$A$1,'FC inventory'!$B$2:$B984,"Bashorun",'FC inventory'!$C$2:$C984,"In")</f>
        <v>0</v>
      </c>
      <c r="AC4" s="21">
        <f>sumifs('FC inventory'!AE2:AE984,'FC inventory'!$A$2:$A984,$A$1,'FC inventory'!$B$2:$B984,"Bashorun",'FC inventory'!$C$2:$C984,"In")</f>
        <v>0</v>
      </c>
      <c r="AD4" s="21">
        <f>sumifs('FC inventory'!AF2:AF984,'FC inventory'!$A$2:$A984,$A$1,'FC inventory'!$B$2:$B984,"Bashorun",'FC inventory'!$C$2:$C984,"In")</f>
        <v>0</v>
      </c>
      <c r="AE4" s="21">
        <f>sumifs('FC inventory'!AG2:AG984,'FC inventory'!$A$2:$A984,$A$1,'FC inventory'!$B$2:$B984,"Bashorun",'FC inventory'!$C$2:$C984,"In")</f>
        <v>0</v>
      </c>
      <c r="AF4" s="21">
        <f>sumifs('FC inventory'!AH2:AH984,'FC inventory'!$A$2:$A984,$A$1,'FC inventory'!$B$2:$B984,"Bashorun",'FC inventory'!$C$2:$C984,"In")</f>
        <v>0</v>
      </c>
    </row>
    <row r="5">
      <c r="A5" s="22" t="s">
        <v>38</v>
      </c>
      <c r="B5" s="21">
        <f>sumifs('FC inventory'!D2:D984,'FC inventory'!$A$2:$A984,$A$1,'FC inventory'!$B$2:$B984,"Bashorun",'FC inventory'!$C$2:$C984,"Out")</f>
        <v>0</v>
      </c>
      <c r="C5" s="21">
        <f>sumifs('FC inventory'!E2:E984,'FC inventory'!$A$2:$A984,$A$1,'FC inventory'!$B$2:$B984,"Bashorun",'FC inventory'!$C$2:$C984,"Out")</f>
        <v>0</v>
      </c>
      <c r="D5" s="21">
        <f>sumifs('FC inventory'!F2:F984,'FC inventory'!$A$2:$A984,$A$1,'FC inventory'!$B$2:$B984,"Bashorun",'FC inventory'!$C$2:$C984,"Out")</f>
        <v>0</v>
      </c>
      <c r="E5" s="21">
        <f>sumifs('FC inventory'!G2:G984,'FC inventory'!$A$2:$A984,$A$1,'FC inventory'!$B$2:$B984,"Bashorun",'FC inventory'!$C$2:$C984,"Out")</f>
        <v>0</v>
      </c>
      <c r="F5" s="21">
        <f>sumifs('FC inventory'!H2:H984,'FC inventory'!$A$2:$A984,$A$1,'FC inventory'!$B$2:$B984,"Bashorun",'FC inventory'!$C$2:$C984,"Out")</f>
        <v>0</v>
      </c>
      <c r="G5" s="21">
        <f>sumifs('FC inventory'!I2:I984,'FC inventory'!$A$2:$A984,$A$1,'FC inventory'!$B$2:$B984,"Bashorun",'FC inventory'!$C$2:$C984,"Out")</f>
        <v>0</v>
      </c>
      <c r="H5" s="21">
        <f>sumifs('FC inventory'!J2:J984,'FC inventory'!$A$2:$A984,$A$1,'FC inventory'!$B$2:$B984,"Bashorun",'FC inventory'!$C$2:$C984,"Out")</f>
        <v>0</v>
      </c>
      <c r="I5" s="21">
        <f>sumifs('FC inventory'!K2:K984,'FC inventory'!$A$2:$A984,$A$1,'FC inventory'!$B$2:$B984,"Bashorun",'FC inventory'!$C$2:$C984,"Out")</f>
        <v>0</v>
      </c>
      <c r="J5" s="21">
        <f>sumifs('FC inventory'!L2:L984,'FC inventory'!$A$2:$A984,$A$1,'FC inventory'!$B$2:$B984,"Bashorun",'FC inventory'!$C$2:$C984,"Out")</f>
        <v>0</v>
      </c>
      <c r="K5" s="21">
        <f>sumifs('FC inventory'!M2:M984,'FC inventory'!$A$2:$A984,$A$1,'FC inventory'!$B$2:$B984,"Bashorun",'FC inventory'!$C$2:$C984,"Out")</f>
        <v>0</v>
      </c>
      <c r="L5" s="21">
        <f>sumifs('FC inventory'!N2:N984,'FC inventory'!$A$2:$A984,$A$1,'FC inventory'!$B$2:$B984,"Bashorun",'FC inventory'!$C$2:$C984,"Out")</f>
        <v>0</v>
      </c>
      <c r="M5" s="21">
        <f>sumifs('FC inventory'!O2:O984,'FC inventory'!$A$2:$A984,$A$1,'FC inventory'!$B$2:$B984,"Bashorun",'FC inventory'!$C$2:$C984,"Out")</f>
        <v>0</v>
      </c>
      <c r="N5" s="21">
        <f>sumifs('FC inventory'!P2:P984,'FC inventory'!$A$2:$A984,$A$1,'FC inventory'!$B$2:$B984,"Bashorun",'FC inventory'!$C$2:$C984,"Out")</f>
        <v>0</v>
      </c>
      <c r="O5" s="21">
        <f>sumifs('FC inventory'!Q2:Q984,'FC inventory'!$A$2:$A984,$A$1,'FC inventory'!$B$2:$B984,"Bashorun",'FC inventory'!$C$2:$C984,"Out")</f>
        <v>0</v>
      </c>
      <c r="P5" s="21">
        <f>sumifs('FC inventory'!R2:R984,'FC inventory'!$A$2:$A984,$A$1,'FC inventory'!$B$2:$B984,"Bashorun",'FC inventory'!$C$2:$C984,"Out")</f>
        <v>0</v>
      </c>
      <c r="Q5" s="21">
        <f>sumifs('FC inventory'!S2:S984,'FC inventory'!$A$2:$A984,$A$1,'FC inventory'!$B$2:$B984,"Bashorun",'FC inventory'!$C$2:$C984,"Out")</f>
        <v>0</v>
      </c>
      <c r="R5" s="21">
        <f>sumifs('FC inventory'!T2:T984,'FC inventory'!$A$2:$A984,$A$1,'FC inventory'!$B$2:$B984,"Bashorun",'FC inventory'!$C$2:$C984,"Out")</f>
        <v>0</v>
      </c>
      <c r="S5" s="21">
        <f>sumifs('FC inventory'!U2:U984,'FC inventory'!$A$2:$A984,$A$1,'FC inventory'!$B$2:$B984,"Bashorun",'FC inventory'!$C$2:$C984,"Out")</f>
        <v>0</v>
      </c>
      <c r="T5" s="21">
        <f>sumifs('FC inventory'!V2:V984,'FC inventory'!$A$2:$A984,$A$1,'FC inventory'!$B$2:$B984,"Bashorun",'FC inventory'!$C$2:$C984,"Out")</f>
        <v>0</v>
      </c>
      <c r="U5" s="21">
        <f>sumifs('FC inventory'!W2:W984,'FC inventory'!$A$2:$A984,$A$1,'FC inventory'!$B$2:$B984,"Bashorun",'FC inventory'!$C$2:$C984,"Out")</f>
        <v>0</v>
      </c>
      <c r="V5" s="21">
        <f>sumifs('FC inventory'!X2:X984,'FC inventory'!$A$2:$A984,$A$1,'FC inventory'!$B$2:$B984,"Bashorun",'FC inventory'!$C$2:$C984,"Out")</f>
        <v>0</v>
      </c>
      <c r="W5" s="21">
        <f>sumifs('FC inventory'!Y2:Y984,'FC inventory'!$A$2:$A984,$A$1,'FC inventory'!$B$2:$B984,"Bashorun",'FC inventory'!$C$2:$C984,"Out")</f>
        <v>0</v>
      </c>
      <c r="X5" s="21">
        <f>sumifs('FC inventory'!Z2:Z984,'FC inventory'!$A$2:$A984,$A$1,'FC inventory'!$B$2:$B984,"Bashorun",'FC inventory'!$C$2:$C984,"Out")</f>
        <v>0</v>
      </c>
      <c r="Y5" s="21">
        <f>sumifs('FC inventory'!AA2:AA984,'FC inventory'!$A$2:$A984,$A$1,'FC inventory'!$B$2:$B984,"Bashorun",'FC inventory'!$C$2:$C984,"Out")</f>
        <v>0</v>
      </c>
      <c r="Z5" s="21">
        <f>sumifs('FC inventory'!AB2:AB984,'FC inventory'!$A$2:$A984,$A$1,'FC inventory'!$B$2:$B984,"Bashorun",'FC inventory'!$C$2:$C984,"Out")</f>
        <v>0</v>
      </c>
      <c r="AA5" s="21">
        <f>sumifs('FC inventory'!AC2:AC984,'FC inventory'!$A$2:$A984,$A$1,'FC inventory'!$B$2:$B984,"Bashorun",'FC inventory'!$C$2:$C984,"Out")</f>
        <v>0</v>
      </c>
      <c r="AB5" s="21">
        <f>sumifs('FC inventory'!AD2:AD984,'FC inventory'!$A$2:$A984,$A$1,'FC inventory'!$B$2:$B984,"Bashorun",'FC inventory'!$C$2:$C984,"Out")</f>
        <v>0</v>
      </c>
      <c r="AC5" s="21">
        <f>sumifs('FC inventory'!AE2:AE984,'FC inventory'!$A$2:$A984,$A$1,'FC inventory'!$B$2:$B984,"Bashorun",'FC inventory'!$C$2:$C984,"Out")</f>
        <v>0</v>
      </c>
      <c r="AD5" s="21">
        <f>sumifs('FC inventory'!AF2:AF984,'FC inventory'!$A$2:$A984,$A$1,'FC inventory'!$B$2:$B984,"Bashorun",'FC inventory'!$C$2:$C984,"Out")</f>
        <v>0</v>
      </c>
      <c r="AE5" s="21">
        <f>sumifs('FC inventory'!AG2:AG984,'FC inventory'!$A$2:$A984,$A$1,'FC inventory'!$B$2:$B984,"Bashorun",'FC inventory'!$C$2:$C984,"Out")</f>
        <v>0</v>
      </c>
      <c r="AF5" s="21">
        <f>sumifs('FC inventory'!AH2:AH984,'FC inventory'!$A$2:$A984,$A$1,'FC inventory'!$B$2:$B984,"Bashorun",'FC inventory'!$C$2:$C984,"Out")</f>
        <v>0</v>
      </c>
    </row>
    <row r="6">
      <c r="A6" s="20" t="s">
        <v>43</v>
      </c>
      <c r="B6" s="9">
        <f>SUMIFS('FC inventory'!D2:D984,'FC inventory'!$A$2:$A984,$A$1,'FC inventory'!$B$2:$B984,"Bashorun",'FC inventory'!$C$2:$C984,"Returned")</f>
        <v>0</v>
      </c>
      <c r="C6" s="9">
        <f>SUMIFS('FC inventory'!E2:E984,'FC inventory'!$A$2:$A984,$A$1,'FC inventory'!$B$2:$B984,"Bashorun",'FC inventory'!$C$2:$C984,"Returned")</f>
        <v>0</v>
      </c>
      <c r="D6" s="9">
        <f>SUMIFS('FC inventory'!F2:F984,'FC inventory'!$A$2:$A984,$A$1,'FC inventory'!$B$2:$B984,"Bashorun",'FC inventory'!$C$2:$C984,"Returned")</f>
        <v>0</v>
      </c>
      <c r="E6" s="9">
        <f>SUMIFS('FC inventory'!G2:G984,'FC inventory'!$A$2:$A984,$A$1,'FC inventory'!$B$2:$B984,"Bashorun",'FC inventory'!$C$2:$C984,"Returned")</f>
        <v>0</v>
      </c>
      <c r="F6" s="9">
        <f>SUMIFS('FC inventory'!H2:H984,'FC inventory'!$A$2:$A984,$A$1,'FC inventory'!$B$2:$B984,"Bashorun",'FC inventory'!$C$2:$C984,"Returned")</f>
        <v>0</v>
      </c>
      <c r="G6" s="9">
        <f>SUMIFS('FC inventory'!I2:I984,'FC inventory'!$A$2:$A984,$A$1,'FC inventory'!$B$2:$B984,"Bashorun",'FC inventory'!$C$2:$C984,"Returned")</f>
        <v>0</v>
      </c>
      <c r="H6" s="9">
        <f>SUMIFS('FC inventory'!J2:J984,'FC inventory'!$A$2:$A984,$A$1,'FC inventory'!$B$2:$B984,"Bashorun",'FC inventory'!$C$2:$C984,"Returned")</f>
        <v>0</v>
      </c>
      <c r="I6" s="9">
        <f>SUMIFS('FC inventory'!K2:K984,'FC inventory'!$A$2:$A984,$A$1,'FC inventory'!$B$2:$B984,"Bashorun",'FC inventory'!$C$2:$C984,"Returned")</f>
        <v>0</v>
      </c>
      <c r="J6" s="9">
        <f>SUMIFS('FC inventory'!L2:L984,'FC inventory'!$A$2:$A984,$A$1,'FC inventory'!$B$2:$B984,"Bashorun",'FC inventory'!$C$2:$C984,"Returned")</f>
        <v>0</v>
      </c>
      <c r="K6" s="9">
        <f>SUMIFS('FC inventory'!M2:M984,'FC inventory'!$A$2:$A984,$A$1,'FC inventory'!$B$2:$B984,"Bashorun",'FC inventory'!$C$2:$C984,"Returned")</f>
        <v>0</v>
      </c>
      <c r="L6" s="9">
        <f>SUMIFS('FC inventory'!N2:N984,'FC inventory'!$A$2:$A984,$A$1,'FC inventory'!$B$2:$B984,"Bashorun",'FC inventory'!$C$2:$C984,"Returned")</f>
        <v>0</v>
      </c>
      <c r="M6" s="9">
        <f>SUMIFS('FC inventory'!O2:O984,'FC inventory'!$A$2:$A984,$A$1,'FC inventory'!$B$2:$B984,"Bashorun",'FC inventory'!$C$2:$C984,"Returned")</f>
        <v>0</v>
      </c>
      <c r="N6" s="9">
        <f>SUMIFS('FC inventory'!P2:P984,'FC inventory'!$A$2:$A984,$A$1,'FC inventory'!$B$2:$B984,"Bashorun",'FC inventory'!$C$2:$C984,"Returned")</f>
        <v>0</v>
      </c>
      <c r="O6" s="9">
        <f>SUMIFS('FC inventory'!Q2:Q984,'FC inventory'!$A$2:$A984,$A$1,'FC inventory'!$B$2:$B984,"Bashorun",'FC inventory'!$C$2:$C984,"Returned")</f>
        <v>0</v>
      </c>
      <c r="P6" s="9">
        <f>SUMIFS('FC inventory'!R2:R984,'FC inventory'!$A$2:$A984,$A$1,'FC inventory'!$B$2:$B984,"Bashorun",'FC inventory'!$C$2:$C984,"Returned")</f>
        <v>0</v>
      </c>
      <c r="Q6" s="9">
        <f>SUMIFS('FC inventory'!S2:S984,'FC inventory'!$A$2:$A984,$A$1,'FC inventory'!$B$2:$B984,"Bashorun",'FC inventory'!$C$2:$C984,"Returned")</f>
        <v>0</v>
      </c>
      <c r="R6" s="9">
        <f>SUMIFS('FC inventory'!T2:T984,'FC inventory'!$A$2:$A984,$A$1,'FC inventory'!$B$2:$B984,"Bashorun",'FC inventory'!$C$2:$C984,"Returned")</f>
        <v>0</v>
      </c>
      <c r="S6" s="9">
        <f>SUMIFS('FC inventory'!U2:U984,'FC inventory'!$A$2:$A984,$A$1,'FC inventory'!$B$2:$B984,"Bashorun",'FC inventory'!$C$2:$C984,"Returned")</f>
        <v>0</v>
      </c>
      <c r="T6" s="9">
        <f>SUMIFS('FC inventory'!V2:V984,'FC inventory'!$A$2:$A984,$A$1,'FC inventory'!$B$2:$B984,"Bashorun",'FC inventory'!$C$2:$C984,"Returned")</f>
        <v>0</v>
      </c>
      <c r="U6" s="9">
        <f>SUMIFS('FC inventory'!W2:W984,'FC inventory'!$A$2:$A984,$A$1,'FC inventory'!$B$2:$B984,"Bashorun",'FC inventory'!$C$2:$C984,"Returned")</f>
        <v>0</v>
      </c>
      <c r="V6" s="9">
        <f>SUMIFS('FC inventory'!X2:X984,'FC inventory'!$A$2:$A984,$A$1,'FC inventory'!$B$2:$B984,"Bashorun",'FC inventory'!$C$2:$C984,"Returned")</f>
        <v>0</v>
      </c>
      <c r="W6" s="9">
        <f>SUMIFS('FC inventory'!Y2:Y984,'FC inventory'!$A$2:$A984,$A$1,'FC inventory'!$B$2:$B984,"Bashorun",'FC inventory'!$C$2:$C984,"Returned")</f>
        <v>0</v>
      </c>
      <c r="X6" s="9">
        <f>SUMIFS('FC inventory'!Z2:Z984,'FC inventory'!$A$2:$A984,$A$1,'FC inventory'!$B$2:$B984,"Bashorun",'FC inventory'!$C$2:$C984,"Returned")</f>
        <v>0</v>
      </c>
      <c r="Y6" s="9">
        <f>SUMIFS('FC inventory'!AA2:AA984,'FC inventory'!$A$2:$A984,$A$1,'FC inventory'!$B$2:$B984,"Bashorun",'FC inventory'!$C$2:$C984,"Returned")</f>
        <v>0</v>
      </c>
      <c r="Z6" s="9">
        <f>SUMIFS('FC inventory'!AB2:AB984,'FC inventory'!$A$2:$A984,$A$1,'FC inventory'!$B$2:$B984,"Bashorun",'FC inventory'!$C$2:$C984,"Returned")</f>
        <v>0</v>
      </c>
      <c r="AA6" s="9">
        <f>SUMIFS('FC inventory'!AC2:AC984,'FC inventory'!$A$2:$A984,$A$1,'FC inventory'!$B$2:$B984,"Bashorun",'FC inventory'!$C$2:$C984,"Returned")</f>
        <v>0</v>
      </c>
      <c r="AB6" s="9">
        <f>SUMIFS('FC inventory'!AD2:AD984,'FC inventory'!$A$2:$A984,$A$1,'FC inventory'!$B$2:$B984,"Bashorun",'FC inventory'!$C$2:$C984,"Returned")</f>
        <v>0</v>
      </c>
      <c r="AC6" s="9">
        <f>SUMIFS('FC inventory'!AE2:AE984,'FC inventory'!$A$2:$A984,$A$1,'FC inventory'!$B$2:$B984,"Bashorun",'FC inventory'!$C$2:$C984,"Returned")</f>
        <v>0</v>
      </c>
      <c r="AD6" s="9">
        <f>SUMIFS('FC inventory'!AF2:AF984,'FC inventory'!$A$2:$A984,$A$1,'FC inventory'!$B$2:$B984,"Bashorun",'FC inventory'!$C$2:$C984,"Returned")</f>
        <v>0</v>
      </c>
      <c r="AE6" s="9">
        <f>SUMIFS('FC inventory'!AG2:AG984,'FC inventory'!$A$2:$A984,$A$1,'FC inventory'!$B$2:$B984,"Bashorun",'FC inventory'!$C$2:$C984,"Returned")</f>
        <v>0</v>
      </c>
      <c r="AF6" s="9">
        <f>SUMIFS('FC inventory'!AH2:AH984,'FC inventory'!$A$2:$A984,$A$1,'FC inventory'!$B$2:$B984,"Bashorun",'FC inventory'!$C$2:$C984,"Returned")</f>
        <v>0</v>
      </c>
    </row>
    <row r="7">
      <c r="A7" s="23" t="s">
        <v>44</v>
      </c>
      <c r="B7" s="24">
        <f t="shared" ref="B7:AF7" si="1">B3+B4-B5+B6</f>
        <v>0</v>
      </c>
      <c r="C7" s="24">
        <f t="shared" si="1"/>
        <v>0</v>
      </c>
      <c r="D7" s="24">
        <f t="shared" si="1"/>
        <v>1</v>
      </c>
      <c r="E7" s="24">
        <f t="shared" si="1"/>
        <v>0</v>
      </c>
      <c r="F7" s="24">
        <f t="shared" si="1"/>
        <v>0</v>
      </c>
      <c r="G7" s="24">
        <f t="shared" si="1"/>
        <v>42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9</v>
      </c>
      <c r="P7" s="24">
        <f t="shared" si="1"/>
        <v>12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19</v>
      </c>
      <c r="V7" s="24">
        <f t="shared" si="1"/>
        <v>0</v>
      </c>
      <c r="W7" s="24">
        <f t="shared" si="1"/>
        <v>0</v>
      </c>
      <c r="X7" s="24">
        <f t="shared" si="1"/>
        <v>0</v>
      </c>
      <c r="Y7" s="24">
        <f t="shared" si="1"/>
        <v>0</v>
      </c>
      <c r="Z7" s="24">
        <f t="shared" si="1"/>
        <v>4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inventory'!D2:D999,'FC inventory'!$A$2:$A999,"&lt;"&amp;$A$1,'FC inventory'!$B$2:$B999,"BCT",'FC inventory'!$C$2:$C999,"In")-sumifs('FC inventory'!D2:D999,'FC inventory'!$A$2:$A999,"&lt;"&amp;$A$1,'FC inventory'!$B$2:$B999,"BCT",'FC inventory'!$C$2:$C999,"Out")+SUMIFS('FC inventory'!D2:D999,'FC inventory'!$A$2:$A999,"&lt;"&amp;$A$1,'FC inventory'!$B$2:$B999,"BCT",'FC inventory'!$C$2:$C999,"Returned")</f>
        <v>-2</v>
      </c>
      <c r="C3" s="9">
        <f>sumifs('FC inventory'!E2:E999,'FC inventory'!$A$2:$A999,"&lt;"&amp;$A$1,'FC inventory'!$B$2:$B999,"BCT",'FC inventory'!$C$2:$C999,"In")-sumifs('FC inventory'!E2:E999,'FC inventory'!$A$2:$A999,"&lt;"&amp;$A$1,'FC inventory'!$B$2:$B999,"BCT",'FC inventory'!$C$2:$C999,"Out")+SUMIFS('FC inventory'!E2:E999,'FC inventory'!$A$2:$A999,"&lt;"&amp;$A$1,'FC inventory'!$B$2:$B999,"BCT",'FC inventory'!$C$2:$C999,"Returned")</f>
        <v>0</v>
      </c>
      <c r="D3" s="9">
        <f>sumifs('FC inventory'!F2:F999,'FC inventory'!$A$2:$A999,"&lt;"&amp;$A$1,'FC inventory'!$B$2:$B999,"BCT",'FC inventory'!$C$2:$C999,"In")-sumifs('FC inventory'!F2:F999,'FC inventory'!$A$2:$A999,"&lt;"&amp;$A$1,'FC inventory'!$B$2:$B999,"BCT",'FC inventory'!$C$2:$C999,"Out")+SUMIFS('FC inventory'!F2:F999,'FC inventory'!$A$2:$A999,"&lt;"&amp;$A$1,'FC inventory'!$B$2:$B999,"BCT",'FC inventory'!$C$2:$C999,"Returned")</f>
        <v>0</v>
      </c>
      <c r="E3" s="9">
        <f>sumifs('FC inventory'!G2:G999,'FC inventory'!$A$2:$A999,"&lt;"&amp;$A$1,'FC inventory'!$B$2:$B999,"BCT",'FC inventory'!$C$2:$C999,"In")-sumifs('FC inventory'!G2:G999,'FC inventory'!$A$2:$A999,"&lt;"&amp;$A$1,'FC inventory'!$B$2:$B999,"BCT",'FC inventory'!$C$2:$C999,"Out")+SUMIFS('FC inventory'!G2:G999,'FC inventory'!$A$2:$A999,"&lt;"&amp;$A$1,'FC inventory'!$B$2:$B999,"BCT",'FC inventory'!$C$2:$C999,"Returned")</f>
        <v>-1</v>
      </c>
      <c r="F3" s="9">
        <f>sumifs('FC inventory'!H2:H999,'FC inventory'!$A$2:$A999,"&lt;"&amp;$A$1,'FC inventory'!$B$2:$B999,"BCT",'FC inventory'!$C$2:$C999,"In")-sumifs('FC inventory'!H2:H999,'FC inventory'!$A$2:$A999,"&lt;"&amp;$A$1,'FC inventory'!$B$2:$B999,"BCT",'FC inventory'!$C$2:$C999,"Out")+SUMIFS('FC inventory'!H2:H999,'FC inventory'!$A$2:$A999,"&lt;"&amp;$A$1,'FC inventory'!$B$2:$B999,"BCT",'FC inventory'!$C$2:$C999,"Returned")</f>
        <v>0</v>
      </c>
      <c r="G3" s="9">
        <f>sumifs('FC inventory'!I2:I999,'FC inventory'!$A$2:$A999,"&lt;"&amp;$A$1,'FC inventory'!$B$2:$B999,"BCT",'FC inventory'!$C$2:$C999,"In")-sumifs('FC inventory'!I2:I999,'FC inventory'!$A$2:$A999,"&lt;"&amp;$A$1,'FC inventory'!$B$2:$B999,"BCT",'FC inventory'!$C$2:$C999,"Out")+SUMIFS('FC inventory'!I2:I999,'FC inventory'!$A$2:$A999,"&lt;"&amp;$A$1,'FC inventory'!$B$2:$B999,"BCT",'FC inventory'!$C$2:$C999,"Returned")</f>
        <v>35</v>
      </c>
      <c r="H3" s="9">
        <f>sumifs('FC inventory'!J2:J999,'FC inventory'!$A$2:$A999,"&lt;"&amp;$A$1,'FC inventory'!$B$2:$B999,"BCT",'FC inventory'!$C$2:$C999,"In")-sumifs('FC inventory'!J2:J999,'FC inventory'!$A$2:$A999,"&lt;"&amp;$A$1,'FC inventory'!$B$2:$B999,"BCT",'FC inventory'!$C$2:$C999,"Out")+SUMIFS('FC inventory'!J2:J999,'FC inventory'!$A$2:$A999,"&lt;"&amp;$A$1,'FC inventory'!$B$2:$B999,"BCT",'FC inventory'!$C$2:$C999,"Returned")</f>
        <v>0</v>
      </c>
      <c r="I3" s="9">
        <f>sumifs('FC inventory'!K2:K999,'FC inventory'!$A$2:$A999,"&lt;"&amp;$A$1,'FC inventory'!$B$2:$B999,"BCT",'FC inventory'!$C$2:$C999,"In")-sumifs('FC inventory'!K2:K999,'FC inventory'!$A$2:$A999,"&lt;"&amp;$A$1,'FC inventory'!$B$2:$B999,"BCT",'FC inventory'!$C$2:$C999,"Out")+SUMIFS('FC inventory'!K2:K999,'FC inventory'!$A$2:$A999,"&lt;"&amp;$A$1,'FC inventory'!$B$2:$B999,"BCT",'FC inventory'!$C$2:$C999,"Returned")</f>
        <v>0</v>
      </c>
      <c r="J3" s="9">
        <f>sumifs('FC inventory'!L2:L999,'FC inventory'!$A$2:$A999,"&lt;"&amp;$A$1,'FC inventory'!$B$2:$B999,"BCT",'FC inventory'!$C$2:$C999,"In")-sumifs('FC inventory'!L2:L999,'FC inventory'!$A$2:$A999,"&lt;"&amp;$A$1,'FC inventory'!$B$2:$B999,"BCT",'FC inventory'!$C$2:$C999,"Out")+SUMIFS('FC inventory'!L2:L999,'FC inventory'!$A$2:$A999,"&lt;"&amp;$A$1,'FC inventory'!$B$2:$B999,"BCT",'FC inventory'!$C$2:$C999,"Returned")</f>
        <v>0</v>
      </c>
      <c r="K3" s="9">
        <f>sumifs('FC inventory'!M2:M999,'FC inventory'!$A$2:$A999,"&lt;"&amp;$A$1,'FC inventory'!$B$2:$B999,"BCT",'FC inventory'!$C$2:$C999,"In")-sumifs('FC inventory'!M2:M999,'FC inventory'!$A$2:$A999,"&lt;"&amp;$A$1,'FC inventory'!$B$2:$B999,"BCT",'FC inventory'!$C$2:$C999,"Out")+SUMIFS('FC inventory'!M2:M999,'FC inventory'!$A$2:$A999,"&lt;"&amp;$A$1,'FC inventory'!$B$2:$B999,"BCT",'FC inventory'!$C$2:$C999,"Returned")</f>
        <v>0</v>
      </c>
      <c r="L3" s="9">
        <f>sumifs('FC inventory'!N2:N999,'FC inventory'!$A$2:$A999,"&lt;"&amp;$A$1,'FC inventory'!$B$2:$B999,"BCT",'FC inventory'!$C$2:$C999,"In")-sumifs('FC inventory'!N2:N999,'FC inventory'!$A$2:$A999,"&lt;"&amp;$A$1,'FC inventory'!$B$2:$B999,"BCT",'FC inventory'!$C$2:$C999,"Out")+SUMIFS('FC inventory'!N2:N999,'FC inventory'!$A$2:$A999,"&lt;"&amp;$A$1,'FC inventory'!$B$2:$B999,"BCT",'FC inventory'!$C$2:$C999,"Returned")</f>
        <v>0</v>
      </c>
      <c r="M3" s="9">
        <f>sumifs('FC inventory'!O2:O999,'FC inventory'!$A$2:$A999,"&lt;"&amp;$A$1,'FC inventory'!$B$2:$B999,"BCT",'FC inventory'!$C$2:$C999,"In")-sumifs('FC inventory'!O2:O999,'FC inventory'!$A$2:$A999,"&lt;"&amp;$A$1,'FC inventory'!$B$2:$B999,"BCT",'FC inventory'!$C$2:$C999,"Out")+SUMIFS('FC inventory'!O2:O999,'FC inventory'!$A$2:$A999,"&lt;"&amp;$A$1,'FC inventory'!$B$2:$B999,"BCT",'FC inventory'!$C$2:$C999,"Returned")</f>
        <v>-1</v>
      </c>
      <c r="N3" s="9">
        <f>sumifs('FC inventory'!P2:P999,'FC inventory'!$A$2:$A999,"&lt;"&amp;$A$1,'FC inventory'!$B$2:$B999,"BCT",'FC inventory'!$C$2:$C999,"In")-sumifs('FC inventory'!P2:P999,'FC inventory'!$A$2:$A999,"&lt;"&amp;$A$1,'FC inventory'!$B$2:$B999,"BCT",'FC inventory'!$C$2:$C999,"Out")+SUMIFS('FC inventory'!P2:P999,'FC inventory'!$A$2:$A999,"&lt;"&amp;$A$1,'FC inventory'!$B$2:$B999,"BCT",'FC inventory'!$C$2:$C999,"Returned")</f>
        <v>0</v>
      </c>
      <c r="O3" s="9">
        <f>sumifs('FC inventory'!Q2:Q999,'FC inventory'!$A$2:$A999,"&lt;"&amp;$A$1,'FC inventory'!$B$2:$B999,"BCT",'FC inventory'!$C$2:$C999,"In")-sumifs('FC inventory'!Q2:Q999,'FC inventory'!$A$2:$A999,"&lt;"&amp;$A$1,'FC inventory'!$B$2:$B999,"BCT",'FC inventory'!$C$2:$C999,"Out")+SUMIFS('FC inventory'!Q2:Q999,'FC inventory'!$A$2:$A999,"&lt;"&amp;$A$1,'FC inventory'!$B$2:$B999,"BCT",'FC inventory'!$C$2:$C999,"Returned")</f>
        <v>2</v>
      </c>
      <c r="P3" s="9">
        <f>sumifs('FC inventory'!R2:R999,'FC inventory'!$A$2:$A999,"&lt;"&amp;$A$1,'FC inventory'!$B$2:$B999,"BCT",'FC inventory'!$C$2:$C999,"In")-sumifs('FC inventory'!R2:R999,'FC inventory'!$A$2:$A999,"&lt;"&amp;$A$1,'FC inventory'!$B$2:$B999,"BCT",'FC inventory'!$C$2:$C999,"Out")+SUMIFS('FC inventory'!R2:R999,'FC inventory'!$A$2:$A999,"&lt;"&amp;$A$1,'FC inventory'!$B$2:$B999,"BCT",'FC inventory'!$C$2:$C999,"Returned")</f>
        <v>6</v>
      </c>
      <c r="Q3" s="9">
        <f>sumifs('FC inventory'!S2:S999,'FC inventory'!$A$2:$A999,"&lt;"&amp;$A$1,'FC inventory'!$B$2:$B999,"BCT",'FC inventory'!$C$2:$C999,"In")-sumifs('FC inventory'!S2:S999,'FC inventory'!$A$2:$A999,"&lt;"&amp;$A$1,'FC inventory'!$B$2:$B999,"BCT",'FC inventory'!$C$2:$C999,"Out")+SUMIFS('FC inventory'!S2:S999,'FC inventory'!$A$2:$A999,"&lt;"&amp;$A$1,'FC inventory'!$B$2:$B999,"BCT",'FC inventory'!$C$2:$C999,"Returned")</f>
        <v>1</v>
      </c>
      <c r="R3" s="9">
        <f>sumifs('FC inventory'!T2:T999,'FC inventory'!$A$2:$A999,"&lt;"&amp;$A$1,'FC inventory'!$B$2:$B999,"BCT",'FC inventory'!$C$2:$C999,"In")-sumifs('FC inventory'!T2:T999,'FC inventory'!$A$2:$A999,"&lt;"&amp;$A$1,'FC inventory'!$B$2:$B999,"BCT",'FC inventory'!$C$2:$C999,"Out")+SUMIFS('FC inventory'!T2:T999,'FC inventory'!$A$2:$A999,"&lt;"&amp;$A$1,'FC inventory'!$B$2:$B999,"BCT",'FC inventory'!$C$2:$C999,"Returned")</f>
        <v>0</v>
      </c>
      <c r="S3" s="9">
        <f>sumifs('FC inventory'!U2:U999,'FC inventory'!$A$2:$A999,"&lt;"&amp;$A$1,'FC inventory'!$B$2:$B999,"BCT",'FC inventory'!$C$2:$C999,"In")-sumifs('FC inventory'!U2:U999,'FC inventory'!$A$2:$A999,"&lt;"&amp;$A$1,'FC inventory'!$B$2:$B999,"BCT",'FC inventory'!$C$2:$C999,"Out")+SUMIFS('FC inventory'!U2:U999,'FC inventory'!$A$2:$A999,"&lt;"&amp;$A$1,'FC inventory'!$B$2:$B999,"BCT",'FC inventory'!$C$2:$C999,"Returned")</f>
        <v>0</v>
      </c>
      <c r="T3" s="9">
        <f>sumifs('FC inventory'!V2:V999,'FC inventory'!$A$2:$A999,"&lt;"&amp;$A$1,'FC inventory'!$B$2:$B999,"BCT",'FC inventory'!$C$2:$C999,"In")-sumifs('FC inventory'!V2:V999,'FC inventory'!$A$2:$A999,"&lt;"&amp;$A$1,'FC inventory'!$B$2:$B999,"BCT",'FC inventory'!$C$2:$C999,"Out")+SUMIFS('FC inventory'!V2:V999,'FC inventory'!$A$2:$A999,"&lt;"&amp;$A$1,'FC inventory'!$B$2:$B999,"BCT",'FC inventory'!$C$2:$C999,"Returned")</f>
        <v>0</v>
      </c>
      <c r="U3" s="9">
        <f>sumifs('FC inventory'!W2:W999,'FC inventory'!$A$2:$A999,"&lt;"&amp;$A$1,'FC inventory'!$B$2:$B999,"BCT",'FC inventory'!$C$2:$C999,"In")-sumifs('FC inventory'!W2:W999,'FC inventory'!$A$2:$A999,"&lt;"&amp;$A$1,'FC inventory'!$B$2:$B999,"BCT",'FC inventory'!$C$2:$C999,"Out")+SUMIFS('FC inventory'!W2:W999,'FC inventory'!$A$2:$A999,"&lt;"&amp;$A$1,'FC inventory'!$B$2:$B999,"BCT",'FC inventory'!$C$2:$C999,"Returned")</f>
        <v>15</v>
      </c>
      <c r="V3" s="9">
        <f>sumifs('FC inventory'!X2:X999,'FC inventory'!$A$2:$A999,"&lt;"&amp;$A$1,'FC inventory'!$B$2:$B999,"BCT",'FC inventory'!$C$2:$C999,"In")-sumifs('FC inventory'!X2:X999,'FC inventory'!$A$2:$A999,"&lt;"&amp;$A$1,'FC inventory'!$B$2:$B999,"BCT",'FC inventory'!$C$2:$C999,"Out")+SUMIFS('FC inventory'!X2:X999,'FC inventory'!$A$2:$A999,"&lt;"&amp;$A$1,'FC inventory'!$B$2:$B999,"BCT",'FC inventory'!$C$2:$C999,"Returned")</f>
        <v>4</v>
      </c>
      <c r="W3" s="9">
        <f>sumifs('FC inventory'!Y2:Y999,'FC inventory'!$A$2:$A999,"&lt;"&amp;$A$1,'FC inventory'!$B$2:$B999,"BCT",'FC inventory'!$C$2:$C999,"In")-sumifs('FC inventory'!Y2:Y999,'FC inventory'!$A$2:$A999,"&lt;"&amp;$A$1,'FC inventory'!$B$2:$B999,"BCT",'FC inventory'!$C$2:$C999,"Out")+SUMIFS('FC inventory'!Y2:Y999,'FC inventory'!$A$2:$A999,"&lt;"&amp;$A$1,'FC inventory'!$B$2:$B999,"BCT",'FC inventory'!$C$2:$C999,"Returned")</f>
        <v>0</v>
      </c>
      <c r="X3" s="9">
        <f>sumifs('FC inventory'!Z2:Z999,'FC inventory'!$A$2:$A999,"&lt;"&amp;$A$1,'FC inventory'!$B$2:$B999,"BCT",'FC inventory'!$C$2:$C999,"In")-sumifs('FC inventory'!Z2:Z999,'FC inventory'!$A$2:$A999,"&lt;"&amp;$A$1,'FC inventory'!$B$2:$B999,"BCT",'FC inventory'!$C$2:$C999,"Out")+SUMIFS('FC inventory'!Z2:Z999,'FC inventory'!$A$2:$A999,"&lt;"&amp;$A$1,'FC inventory'!$B$2:$B999,"BCT",'FC inventory'!$C$2:$C999,"Returned")</f>
        <v>0</v>
      </c>
      <c r="Y3" s="9">
        <f>sumifs('FC inventory'!AA2:AA999,'FC inventory'!$A$2:$A999,"&lt;"&amp;$A$1,'FC inventory'!$B$2:$B999,"BCT",'FC inventory'!$C$2:$C999,"In")-sumifs('FC inventory'!AA2:AA999,'FC inventory'!$A$2:$A999,"&lt;"&amp;$A$1,'FC inventory'!$B$2:$B999,"BCT",'FC inventory'!$C$2:$C999,"Out")+SUMIFS('FC inventory'!AA2:AA999,'FC inventory'!$A$2:$A999,"&lt;"&amp;$A$1,'FC inventory'!$B$2:$B999,"BCT",'FC inventory'!$C$2:$C999,"Returned")</f>
        <v>1</v>
      </c>
      <c r="Z3" s="9">
        <f>sumifs('FC inventory'!AB2:AB999,'FC inventory'!$A$2:$A999,"&lt;"&amp;$A$1,'FC inventory'!$B$2:$B999,"BCT",'FC inventory'!$C$2:$C999,"In")-sumifs('FC inventory'!AB2:AB999,'FC inventory'!$A$2:$A999,"&lt;"&amp;$A$1,'FC inventory'!$B$2:$B999,"BCT",'FC inventory'!$C$2:$C999,"Out")+SUMIFS('FC inventory'!AB2:AB999,'FC inventory'!$A$2:$A999,"&lt;"&amp;$A$1,'FC inventory'!$B$2:$B999,"BCT",'FC inventory'!$C$2:$C999,"Returned")</f>
        <v>2</v>
      </c>
      <c r="AA3" s="9">
        <f>sumifs('FC inventory'!AC2:AC999,'FC inventory'!$A$2:$A999,"&lt;"&amp;$A$1,'FC inventory'!$B$2:$B999,"BCT",'FC inventory'!$C$2:$C999,"In")-sumifs('FC inventory'!AC2:AC999,'FC inventory'!$A$2:$A999,"&lt;"&amp;$A$1,'FC inventory'!$B$2:$B999,"BCT",'FC inventory'!$C$2:$C999,"Out")+SUMIFS('FC inventory'!AC2:AC999,'FC inventory'!$A$2:$A999,"&lt;"&amp;$A$1,'FC inventory'!$B$2:$B999,"BCT",'FC inventory'!$C$2:$C999,"Returned")</f>
        <v>0</v>
      </c>
      <c r="AB3" s="9">
        <f>sumifs('FC inventory'!AD2:AD999,'FC inventory'!$A$2:$A999,"&lt;"&amp;$A$1,'FC inventory'!$B$2:$B999,"BCT",'FC inventory'!$C$2:$C999,"In")-sumifs('FC inventory'!AD2:AD999,'FC inventory'!$A$2:$A999,"&lt;"&amp;$A$1,'FC inventory'!$B$2:$B999,"BCT",'FC inventory'!$C$2:$C999,"Out")+SUMIFS('FC inventory'!AD2:AD999,'FC inventory'!$A$2:$A999,"&lt;"&amp;$A$1,'FC inventory'!$B$2:$B999,"BCT",'FC inventory'!$C$2:$C999,"Returned")</f>
        <v>0</v>
      </c>
      <c r="AC3" s="9">
        <f>sumifs('FC inventory'!AE2:AE999,'FC inventory'!$A$2:$A999,"&lt;"&amp;$A$1,'FC inventory'!$B$2:$B999,"BCT",'FC inventory'!$C$2:$C999,"In")-sumifs('FC inventory'!AE2:AE999,'FC inventory'!$A$2:$A999,"&lt;"&amp;$A$1,'FC inventory'!$B$2:$B999,"BCT",'FC inventory'!$C$2:$C999,"Out")+SUMIFS('FC inventory'!AE2:AE999,'FC inventory'!$A$2:$A999,"&lt;"&amp;$A$1,'FC inventory'!$B$2:$B999,"BCT",'FC inventory'!$C$2:$C999,"Returned")</f>
        <v>0</v>
      </c>
      <c r="AD3" s="9">
        <f>sumifs('FC inventory'!AF2:AF999,'FC inventory'!$A$2:$A999,"&lt;"&amp;$A$1,'FC inventory'!$B$2:$B999,"BCT",'FC inventory'!$C$2:$C999,"In")-sumifs('FC inventory'!AF2:AF999,'FC inventory'!$A$2:$A999,"&lt;"&amp;$A$1,'FC inventory'!$B$2:$B999,"BCT",'FC inventory'!$C$2:$C999,"Out")+SUMIFS('FC inventory'!AF2:AF999,'FC inventory'!$A$2:$A999,"&lt;"&amp;$A$1,'FC inventory'!$B$2:$B999,"BCT",'FC inventory'!$C$2:$C999,"Returned")</f>
        <v>0</v>
      </c>
      <c r="AE3" s="9">
        <f>sumifs('FC inventory'!AG2:AG999,'FC inventory'!$A$2:$A999,"&lt;"&amp;$A$1,'FC inventory'!$B$2:$B999,"BCT",'FC inventory'!$C$2:$C999,"In")-sumifs('FC inventory'!AG2:AG999,'FC inventory'!$A$2:$A999,"&lt;"&amp;$A$1,'FC inventory'!$B$2:$B999,"BCT",'FC inventory'!$C$2:$C999,"Out")+SUMIFS('FC inventory'!AG2:AG999,'FC inventory'!$A$2:$A999,"&lt;"&amp;$A$1,'FC inventory'!$B$2:$B999,"BCT",'FC inventory'!$C$2:$C999,"Returned")</f>
        <v>0</v>
      </c>
      <c r="AF3" s="9">
        <f>sumifs('FC inventory'!AH2:AH999,'FC inventory'!$A$2:$A999,"&lt;"&amp;$A$1,'FC inventory'!$B$2:$B999,"BCT",'FC inventory'!$C$2:$C999,"In")-sumifs('FC inventory'!AH2:AH999,'FC inventory'!$A$2:$A999,"&lt;"&amp;$A$1,'FC inventory'!$B$2:$B999,"BCT",'FC inventory'!$C$2:$C999,"Out")+SUMIFS('FC inventory'!AH2:AH999,'FC inventory'!$A$2:$A999,"&lt;"&amp;$A$1,'FC inventory'!$B$2:$B999,"BCT",'FC inventory'!$C$2:$C999,"Returned")</f>
        <v>0</v>
      </c>
    </row>
    <row r="4">
      <c r="A4" s="20" t="s">
        <v>35</v>
      </c>
      <c r="B4" s="21">
        <f>sumifs('FC inventory'!D2:D999,'FC inventory'!$A$2:$A999,$A$1,'FC inventory'!$B$2:$B999,"BCT",'FC inventory'!$C$2:$C999,"In")</f>
        <v>0</v>
      </c>
      <c r="C4" s="21">
        <f>sumifs('FC inventory'!E2:E999,'FC inventory'!$A$2:$A999,$A$1,'FC inventory'!$B$2:$B999,"BCT",'FC inventory'!$C$2:$C999,"In")</f>
        <v>0</v>
      </c>
      <c r="D4" s="21">
        <f>sumifs('FC inventory'!F2:F999,'FC inventory'!$A$2:$A999,$A$1,'FC inventory'!$B$2:$B999,"BCT",'FC inventory'!$C$2:$C999,"In")</f>
        <v>0</v>
      </c>
      <c r="E4" s="21">
        <f>sumifs('FC inventory'!G2:G999,'FC inventory'!$A$2:$A999,$A$1,'FC inventory'!$B$2:$B999,"BCT",'FC inventory'!$C$2:$C999,"In")</f>
        <v>0</v>
      </c>
      <c r="F4" s="21">
        <f>sumifs('FC inventory'!H2:H999,'FC inventory'!$A$2:$A999,$A$1,'FC inventory'!$B$2:$B999,"BCT",'FC inventory'!$C$2:$C999,"In")</f>
        <v>0</v>
      </c>
      <c r="G4" s="21">
        <f>sumifs('FC inventory'!I2:I999,'FC inventory'!$A$2:$A999,$A$1,'FC inventory'!$B$2:$B999,"BCT",'FC inventory'!$C$2:$C999,"In")</f>
        <v>0</v>
      </c>
      <c r="H4" s="21">
        <f>sumifs('FC inventory'!J2:J999,'FC inventory'!$A$2:$A999,$A$1,'FC inventory'!$B$2:$B999,"BCT",'FC inventory'!$C$2:$C999,"In")</f>
        <v>0</v>
      </c>
      <c r="I4" s="21">
        <f>sumifs('FC inventory'!K2:K999,'FC inventory'!$A$2:$A999,$A$1,'FC inventory'!$B$2:$B999,"BCT",'FC inventory'!$C$2:$C999,"In")</f>
        <v>0</v>
      </c>
      <c r="J4" s="21">
        <f>sumifs('FC inventory'!L2:L999,'FC inventory'!$A$2:$A999,$A$1,'FC inventory'!$B$2:$B999,"BCT",'FC inventory'!$C$2:$C999,"In")</f>
        <v>0</v>
      </c>
      <c r="K4" s="21">
        <f>sumifs('FC inventory'!M2:M999,'FC inventory'!$A$2:$A999,$A$1,'FC inventory'!$B$2:$B999,"BCT",'FC inventory'!$C$2:$C999,"In")</f>
        <v>0</v>
      </c>
      <c r="L4" s="21">
        <f>sumifs('FC inventory'!N2:N999,'FC inventory'!$A$2:$A999,$A$1,'FC inventory'!$B$2:$B999,"BCT",'FC inventory'!$C$2:$C999,"In")</f>
        <v>0</v>
      </c>
      <c r="M4" s="21">
        <f>sumifs('FC inventory'!O2:O999,'FC inventory'!$A$2:$A999,$A$1,'FC inventory'!$B$2:$B999,"BCT",'FC inventory'!$C$2:$C999,"In")</f>
        <v>0</v>
      </c>
      <c r="N4" s="21">
        <f>sumifs('FC inventory'!P2:P999,'FC inventory'!$A$2:$A999,$A$1,'FC inventory'!$B$2:$B999,"BCT",'FC inventory'!$C$2:$C999,"In")</f>
        <v>0</v>
      </c>
      <c r="O4" s="21">
        <f>sumifs('FC inventory'!Q2:Q999,'FC inventory'!$A$2:$A999,$A$1,'FC inventory'!$B$2:$B999,"BCT",'FC inventory'!$C$2:$C999,"In")</f>
        <v>0</v>
      </c>
      <c r="P4" s="21">
        <f>sumifs('FC inventory'!R2:R999,'FC inventory'!$A$2:$A999,$A$1,'FC inventory'!$B$2:$B999,"BCT",'FC inventory'!$C$2:$C999,"In")</f>
        <v>0</v>
      </c>
      <c r="Q4" s="21">
        <f>sumifs('FC inventory'!S2:S999,'FC inventory'!$A$2:$A999,$A$1,'FC inventory'!$B$2:$B999,"BCT",'FC inventory'!$C$2:$C999,"In")</f>
        <v>0</v>
      </c>
      <c r="R4" s="21">
        <f>sumifs('FC inventory'!T2:T999,'FC inventory'!$A$2:$A999,$A$1,'FC inventory'!$B$2:$B999,"BCT",'FC inventory'!$C$2:$C999,"In")</f>
        <v>0</v>
      </c>
      <c r="S4" s="21">
        <f>sumifs('FC inventory'!U2:U999,'FC inventory'!$A$2:$A999,$A$1,'FC inventory'!$B$2:$B999,"BCT",'FC inventory'!$C$2:$C999,"In")</f>
        <v>0</v>
      </c>
      <c r="T4" s="21">
        <f>sumifs('FC inventory'!V2:V999,'FC inventory'!$A$2:$A999,$A$1,'FC inventory'!$B$2:$B999,"BCT",'FC inventory'!$C$2:$C999,"In")</f>
        <v>0</v>
      </c>
      <c r="U4" s="21">
        <f>sumifs('FC inventory'!W2:W999,'FC inventory'!$A$2:$A999,$A$1,'FC inventory'!$B$2:$B999,"BCT",'FC inventory'!$C$2:$C999,"In")</f>
        <v>0</v>
      </c>
      <c r="V4" s="21">
        <f>sumifs('FC inventory'!X2:X999,'FC inventory'!$A$2:$A999,$A$1,'FC inventory'!$B$2:$B999,"BCT",'FC inventory'!$C$2:$C999,"In")</f>
        <v>0</v>
      </c>
      <c r="W4" s="21">
        <f>sumifs('FC inventory'!Y2:Y999,'FC inventory'!$A$2:$A999,$A$1,'FC inventory'!$B$2:$B999,"BCT",'FC inventory'!$C$2:$C999,"In")</f>
        <v>0</v>
      </c>
      <c r="X4" s="21">
        <f>sumifs('FC inventory'!Z2:Z999,'FC inventory'!$A$2:$A999,$A$1,'FC inventory'!$B$2:$B999,"BCT",'FC inventory'!$C$2:$C999,"In")</f>
        <v>0</v>
      </c>
      <c r="Y4" s="21">
        <f>sumifs('FC inventory'!AA2:AA999,'FC inventory'!$A$2:$A999,$A$1,'FC inventory'!$B$2:$B999,"BCT",'FC inventory'!$C$2:$C999,"In")</f>
        <v>0</v>
      </c>
      <c r="Z4" s="21">
        <f>sumifs('FC inventory'!AB2:AB999,'FC inventory'!$A$2:$A999,$A$1,'FC inventory'!$B$2:$B999,"BCT",'FC inventory'!$C$2:$C999,"In")</f>
        <v>0</v>
      </c>
      <c r="AA4" s="21">
        <f>sumifs('FC inventory'!AC2:AC999,'FC inventory'!$A$2:$A999,$A$1,'FC inventory'!$B$2:$B999,"BCT",'FC inventory'!$C$2:$C999,"In")</f>
        <v>0</v>
      </c>
      <c r="AB4" s="21">
        <f>sumifs('FC inventory'!AD2:AD999,'FC inventory'!$A$2:$A999,$A$1,'FC inventory'!$B$2:$B999,"BCT",'FC inventory'!$C$2:$C999,"In")</f>
        <v>0</v>
      </c>
      <c r="AC4" s="21">
        <f>sumifs('FC inventory'!AE2:AE999,'FC inventory'!$A$2:$A999,$A$1,'FC inventory'!$B$2:$B999,"BCT",'FC inventory'!$C$2:$C999,"In")</f>
        <v>0</v>
      </c>
      <c r="AD4" s="21">
        <f>sumifs('FC inventory'!AF2:AF999,'FC inventory'!$A$2:$A999,$A$1,'FC inventory'!$B$2:$B999,"BCT",'FC inventory'!$C$2:$C999,"In")</f>
        <v>0</v>
      </c>
      <c r="AE4" s="21">
        <f>sumifs('FC inventory'!AG2:AG999,'FC inventory'!$A$2:$A999,$A$1,'FC inventory'!$B$2:$B999,"BCT",'FC inventory'!$C$2:$C999,"In")</f>
        <v>0</v>
      </c>
      <c r="AF4" s="21">
        <f>sumifs('FC inventory'!AH2:AH999,'FC inventory'!$A$2:$A999,$A$1,'FC inventory'!$B$2:$B999,"BCT",'FC inventory'!$C$2:$C999,"In")</f>
        <v>0</v>
      </c>
    </row>
    <row r="5">
      <c r="A5" s="22" t="s">
        <v>38</v>
      </c>
      <c r="B5" s="21">
        <f>sumifs('FC inventory'!D2:D999,'FC inventory'!$A$2:$A999,$A$1,'FC inventory'!$B$2:$B999,"BCT",'FC inventory'!$C$2:$C999,"Out")</f>
        <v>0</v>
      </c>
      <c r="C5" s="21">
        <f>sumifs('FC inventory'!E2:E999,'FC inventory'!$A$2:$A999,$A$1,'FC inventory'!$B$2:$B999,"BCT",'FC inventory'!$C$2:$C999,"Out")</f>
        <v>0</v>
      </c>
      <c r="D5" s="21">
        <f>sumifs('FC inventory'!F2:F999,'FC inventory'!$A$2:$A999,$A$1,'FC inventory'!$B$2:$B999,"BCT",'FC inventory'!$C$2:$C999,"Out")</f>
        <v>0</v>
      </c>
      <c r="E5" s="21">
        <f>sumifs('FC inventory'!G2:G999,'FC inventory'!$A$2:$A999,$A$1,'FC inventory'!$B$2:$B999,"BCT",'FC inventory'!$C$2:$C999,"Out")</f>
        <v>0</v>
      </c>
      <c r="F5" s="21">
        <f>sumifs('FC inventory'!H2:H999,'FC inventory'!$A$2:$A999,$A$1,'FC inventory'!$B$2:$B999,"BCT",'FC inventory'!$C$2:$C999,"Out")</f>
        <v>0</v>
      </c>
      <c r="G5" s="21">
        <f>sumifs('FC inventory'!I2:I999,'FC inventory'!$A$2:$A999,$A$1,'FC inventory'!$B$2:$B999,"BCT",'FC inventory'!$C$2:$C999,"Out")</f>
        <v>0</v>
      </c>
      <c r="H5" s="21">
        <f>sumifs('FC inventory'!J2:J999,'FC inventory'!$A$2:$A999,$A$1,'FC inventory'!$B$2:$B999,"BCT",'FC inventory'!$C$2:$C999,"Out")</f>
        <v>0</v>
      </c>
      <c r="I5" s="21">
        <f>sumifs('FC inventory'!K2:K999,'FC inventory'!$A$2:$A999,$A$1,'FC inventory'!$B$2:$B999,"BCT",'FC inventory'!$C$2:$C999,"Out")</f>
        <v>0</v>
      </c>
      <c r="J5" s="21">
        <f>sumifs('FC inventory'!L2:L999,'FC inventory'!$A$2:$A999,$A$1,'FC inventory'!$B$2:$B999,"BCT",'FC inventory'!$C$2:$C999,"Out")</f>
        <v>0</v>
      </c>
      <c r="K5" s="21">
        <f>sumifs('FC inventory'!M2:M999,'FC inventory'!$A$2:$A999,$A$1,'FC inventory'!$B$2:$B999,"BCT",'FC inventory'!$C$2:$C999,"Out")</f>
        <v>0</v>
      </c>
      <c r="L5" s="21">
        <f>sumifs('FC inventory'!N2:N999,'FC inventory'!$A$2:$A999,$A$1,'FC inventory'!$B$2:$B999,"BCT",'FC inventory'!$C$2:$C999,"Out")</f>
        <v>0</v>
      </c>
      <c r="M5" s="21">
        <f>sumifs('FC inventory'!O2:O999,'FC inventory'!$A$2:$A999,$A$1,'FC inventory'!$B$2:$B999,"BCT",'FC inventory'!$C$2:$C999,"Out")</f>
        <v>0</v>
      </c>
      <c r="N5" s="21">
        <f>sumifs('FC inventory'!P2:P999,'FC inventory'!$A$2:$A999,$A$1,'FC inventory'!$B$2:$B999,"BCT",'FC inventory'!$C$2:$C999,"Out")</f>
        <v>0</v>
      </c>
      <c r="O5" s="21">
        <f>sumifs('FC inventory'!Q2:Q999,'FC inventory'!$A$2:$A999,$A$1,'FC inventory'!$B$2:$B999,"BCT",'FC inventory'!$C$2:$C999,"Out")</f>
        <v>0</v>
      </c>
      <c r="P5" s="21">
        <f>sumifs('FC inventory'!R2:R999,'FC inventory'!$A$2:$A999,$A$1,'FC inventory'!$B$2:$B999,"BCT",'FC inventory'!$C$2:$C999,"Out")</f>
        <v>0</v>
      </c>
      <c r="Q5" s="21">
        <f>sumifs('FC inventory'!S2:S999,'FC inventory'!$A$2:$A999,$A$1,'FC inventory'!$B$2:$B999,"BCT",'FC inventory'!$C$2:$C999,"Out")</f>
        <v>0</v>
      </c>
      <c r="R5" s="21">
        <f>sumifs('FC inventory'!T2:T999,'FC inventory'!$A$2:$A999,$A$1,'FC inventory'!$B$2:$B999,"BCT",'FC inventory'!$C$2:$C999,"Out")</f>
        <v>0</v>
      </c>
      <c r="S5" s="21">
        <f>sumifs('FC inventory'!U2:U999,'FC inventory'!$A$2:$A999,$A$1,'FC inventory'!$B$2:$B999,"BCT",'FC inventory'!$C$2:$C999,"Out")</f>
        <v>0</v>
      </c>
      <c r="T5" s="21">
        <f>sumifs('FC inventory'!V2:V999,'FC inventory'!$A$2:$A999,$A$1,'FC inventory'!$B$2:$B999,"BCT",'FC inventory'!$C$2:$C999,"Out")</f>
        <v>0</v>
      </c>
      <c r="U5" s="21">
        <f>sumifs('FC inventory'!W2:W999,'FC inventory'!$A$2:$A999,$A$1,'FC inventory'!$B$2:$B999,"BCT",'FC inventory'!$C$2:$C999,"Out")</f>
        <v>0</v>
      </c>
      <c r="V5" s="21">
        <f>sumifs('FC inventory'!X2:X999,'FC inventory'!$A$2:$A999,$A$1,'FC inventory'!$B$2:$B999,"BCT",'FC inventory'!$C$2:$C999,"Out")</f>
        <v>0</v>
      </c>
      <c r="W5" s="21">
        <f>sumifs('FC inventory'!Y2:Y999,'FC inventory'!$A$2:$A999,$A$1,'FC inventory'!$B$2:$B999,"BCT",'FC inventory'!$C$2:$C999,"Out")</f>
        <v>0</v>
      </c>
      <c r="X5" s="21">
        <f>sumifs('FC inventory'!Z2:Z999,'FC inventory'!$A$2:$A999,$A$1,'FC inventory'!$B$2:$B999,"BCT",'FC inventory'!$C$2:$C999,"Out")</f>
        <v>0</v>
      </c>
      <c r="Y5" s="21">
        <f>sumifs('FC inventory'!AA2:AA999,'FC inventory'!$A$2:$A999,$A$1,'FC inventory'!$B$2:$B999,"BCT",'FC inventory'!$C$2:$C999,"Out")</f>
        <v>0</v>
      </c>
      <c r="Z5" s="21">
        <f>sumifs('FC inventory'!AB2:AB999,'FC inventory'!$A$2:$A999,$A$1,'FC inventory'!$B$2:$B999,"BCT",'FC inventory'!$C$2:$C999,"Out")</f>
        <v>0</v>
      </c>
      <c r="AA5" s="21">
        <f>sumifs('FC inventory'!AC2:AC999,'FC inventory'!$A$2:$A999,$A$1,'FC inventory'!$B$2:$B999,"BCT",'FC inventory'!$C$2:$C999,"Out")</f>
        <v>0</v>
      </c>
      <c r="AB5" s="21">
        <f>sumifs('FC inventory'!AD2:AD999,'FC inventory'!$A$2:$A999,$A$1,'FC inventory'!$B$2:$B999,"BCT",'FC inventory'!$C$2:$C999,"Out")</f>
        <v>0</v>
      </c>
      <c r="AC5" s="21">
        <f>sumifs('FC inventory'!AE2:AE999,'FC inventory'!$A$2:$A999,$A$1,'FC inventory'!$B$2:$B999,"BCT",'FC inventory'!$C$2:$C999,"Out")</f>
        <v>0</v>
      </c>
      <c r="AD5" s="21">
        <f>sumifs('FC inventory'!AF2:AF999,'FC inventory'!$A$2:$A999,$A$1,'FC inventory'!$B$2:$B999,"BCT",'FC inventory'!$C$2:$C999,"Out")</f>
        <v>0</v>
      </c>
      <c r="AE5" s="21">
        <f>sumifs('FC inventory'!AG2:AG999,'FC inventory'!$A$2:$A999,$A$1,'FC inventory'!$B$2:$B999,"BCT",'FC inventory'!$C$2:$C999,"Out")</f>
        <v>0</v>
      </c>
      <c r="AF5" s="21">
        <f>sumifs('FC inventory'!AH2:AH999,'FC inventory'!$A$2:$A999,$A$1,'FC inventory'!$B$2:$B999,"BCT",'FC inventory'!$C$2:$C999,"Out")</f>
        <v>0</v>
      </c>
    </row>
    <row r="6">
      <c r="A6" s="20" t="s">
        <v>43</v>
      </c>
      <c r="B6" s="9">
        <f>SUMIFS('FC inventory'!D2:D999,'FC inventory'!$A$2:$A999,$A$1,'FC inventory'!$B$2:$B999,"BCT",'FC inventory'!$C$2:$C999,"Returned")</f>
        <v>0</v>
      </c>
      <c r="C6" s="9">
        <f>SUMIFS('FC inventory'!E2:E999,'FC inventory'!$A$2:$A999,$A$1,'FC inventory'!$B$2:$B999,"BCT",'FC inventory'!$C$2:$C999,"Returned")</f>
        <v>0</v>
      </c>
      <c r="D6" s="9">
        <f>SUMIFS('FC inventory'!F2:F999,'FC inventory'!$A$2:$A999,$A$1,'FC inventory'!$B$2:$B999,"BCT",'FC inventory'!$C$2:$C999,"Returned")</f>
        <v>0</v>
      </c>
      <c r="E6" s="9">
        <f>SUMIFS('FC inventory'!G2:G999,'FC inventory'!$A$2:$A999,$A$1,'FC inventory'!$B$2:$B999,"BCT",'FC inventory'!$C$2:$C999,"Returned")</f>
        <v>0</v>
      </c>
      <c r="F6" s="9">
        <f>SUMIFS('FC inventory'!H2:H999,'FC inventory'!$A$2:$A999,$A$1,'FC inventory'!$B$2:$B999,"BCT",'FC inventory'!$C$2:$C999,"Returned")</f>
        <v>0</v>
      </c>
      <c r="G6" s="9">
        <f>SUMIFS('FC inventory'!I2:I999,'FC inventory'!$A$2:$A999,$A$1,'FC inventory'!$B$2:$B999,"BCT",'FC inventory'!$C$2:$C999,"Returned")</f>
        <v>0</v>
      </c>
      <c r="H6" s="9">
        <f>SUMIFS('FC inventory'!J2:J999,'FC inventory'!$A$2:$A999,$A$1,'FC inventory'!$B$2:$B999,"BCT",'FC inventory'!$C$2:$C999,"Returned")</f>
        <v>0</v>
      </c>
      <c r="I6" s="9">
        <f>SUMIFS('FC inventory'!K2:K999,'FC inventory'!$A$2:$A999,$A$1,'FC inventory'!$B$2:$B999,"BCT",'FC inventory'!$C$2:$C999,"Returned")</f>
        <v>0</v>
      </c>
      <c r="J6" s="9">
        <f>SUMIFS('FC inventory'!L2:L999,'FC inventory'!$A$2:$A999,$A$1,'FC inventory'!$B$2:$B999,"BCT",'FC inventory'!$C$2:$C999,"Returned")</f>
        <v>0</v>
      </c>
      <c r="K6" s="9">
        <f>SUMIFS('FC inventory'!M2:M999,'FC inventory'!$A$2:$A999,$A$1,'FC inventory'!$B$2:$B999,"BCT",'FC inventory'!$C$2:$C999,"Returned")</f>
        <v>0</v>
      </c>
      <c r="L6" s="9">
        <f>SUMIFS('FC inventory'!N2:N999,'FC inventory'!$A$2:$A999,$A$1,'FC inventory'!$B$2:$B999,"BCT",'FC inventory'!$C$2:$C999,"Returned")</f>
        <v>0</v>
      </c>
      <c r="M6" s="9">
        <f>SUMIFS('FC inventory'!O2:O999,'FC inventory'!$A$2:$A999,$A$1,'FC inventory'!$B$2:$B999,"BCT",'FC inventory'!$C$2:$C999,"Returned")</f>
        <v>0</v>
      </c>
      <c r="N6" s="9">
        <f>SUMIFS('FC inventory'!P2:P999,'FC inventory'!$A$2:$A999,$A$1,'FC inventory'!$B$2:$B999,"BCT",'FC inventory'!$C$2:$C999,"Returned")</f>
        <v>0</v>
      </c>
      <c r="O6" s="9">
        <f>SUMIFS('FC inventory'!Q2:Q999,'FC inventory'!$A$2:$A999,$A$1,'FC inventory'!$B$2:$B999,"BCT",'FC inventory'!$C$2:$C999,"Returned")</f>
        <v>0</v>
      </c>
      <c r="P6" s="9">
        <f>SUMIFS('FC inventory'!R2:R999,'FC inventory'!$A$2:$A999,$A$1,'FC inventory'!$B$2:$B999,"BCT",'FC inventory'!$C$2:$C999,"Returned")</f>
        <v>0</v>
      </c>
      <c r="Q6" s="9">
        <f>SUMIFS('FC inventory'!S2:S999,'FC inventory'!$A$2:$A999,$A$1,'FC inventory'!$B$2:$B999,"BCT",'FC inventory'!$C$2:$C999,"Returned")</f>
        <v>0</v>
      </c>
      <c r="R6" s="9">
        <f>SUMIFS('FC inventory'!T2:T999,'FC inventory'!$A$2:$A999,$A$1,'FC inventory'!$B$2:$B999,"BCT",'FC inventory'!$C$2:$C999,"Returned")</f>
        <v>0</v>
      </c>
      <c r="S6" s="9">
        <f>SUMIFS('FC inventory'!U2:U999,'FC inventory'!$A$2:$A999,$A$1,'FC inventory'!$B$2:$B999,"BCT",'FC inventory'!$C$2:$C999,"Returned")</f>
        <v>0</v>
      </c>
      <c r="T6" s="9">
        <f>SUMIFS('FC inventory'!V2:V999,'FC inventory'!$A$2:$A999,$A$1,'FC inventory'!$B$2:$B999,"BCT",'FC inventory'!$C$2:$C999,"Returned")</f>
        <v>0</v>
      </c>
      <c r="U6" s="9">
        <f>SUMIFS('FC inventory'!W2:W999,'FC inventory'!$A$2:$A999,$A$1,'FC inventory'!$B$2:$B999,"BCT",'FC inventory'!$C$2:$C999,"Returned")</f>
        <v>0</v>
      </c>
      <c r="V6" s="9">
        <f>SUMIFS('FC inventory'!X2:X999,'FC inventory'!$A$2:$A999,$A$1,'FC inventory'!$B$2:$B999,"BCT",'FC inventory'!$C$2:$C999,"Returned")</f>
        <v>0</v>
      </c>
      <c r="W6" s="9">
        <f>SUMIFS('FC inventory'!Y2:Y999,'FC inventory'!$A$2:$A999,$A$1,'FC inventory'!$B$2:$B999,"BCT",'FC inventory'!$C$2:$C999,"Returned")</f>
        <v>0</v>
      </c>
      <c r="X6" s="9">
        <f>SUMIFS('FC inventory'!Z2:Z999,'FC inventory'!$A$2:$A999,$A$1,'FC inventory'!$B$2:$B999,"BCT",'FC inventory'!$C$2:$C999,"Returned")</f>
        <v>0</v>
      </c>
      <c r="Y6" s="9">
        <f>SUMIFS('FC inventory'!AA2:AA999,'FC inventory'!$A$2:$A999,$A$1,'FC inventory'!$B$2:$B999,"BCT",'FC inventory'!$C$2:$C999,"Returned")</f>
        <v>0</v>
      </c>
      <c r="Z6" s="9">
        <f>SUMIFS('FC inventory'!AB2:AB999,'FC inventory'!$A$2:$A999,$A$1,'FC inventory'!$B$2:$B999,"BCT",'FC inventory'!$C$2:$C999,"Returned")</f>
        <v>0</v>
      </c>
      <c r="AA6" s="9">
        <f>SUMIFS('FC inventory'!AC2:AC999,'FC inventory'!$A$2:$A999,$A$1,'FC inventory'!$B$2:$B999,"BCT",'FC inventory'!$C$2:$C999,"Returned")</f>
        <v>0</v>
      </c>
      <c r="AB6" s="9">
        <f>SUMIFS('FC inventory'!AD2:AD999,'FC inventory'!$A$2:$A999,$A$1,'FC inventory'!$B$2:$B999,"BCT",'FC inventory'!$C$2:$C999,"Returned")</f>
        <v>0</v>
      </c>
      <c r="AC6" s="9">
        <f>SUMIFS('FC inventory'!AE2:AE999,'FC inventory'!$A$2:$A999,$A$1,'FC inventory'!$B$2:$B999,"BCT",'FC inventory'!$C$2:$C999,"Returned")</f>
        <v>0</v>
      </c>
      <c r="AD6" s="9">
        <f>SUMIFS('FC inventory'!AF2:AF999,'FC inventory'!$A$2:$A999,$A$1,'FC inventory'!$B$2:$B999,"BCT",'FC inventory'!$C$2:$C999,"Returned")</f>
        <v>0</v>
      </c>
      <c r="AE6" s="9">
        <f>SUMIFS('FC inventory'!AG2:AG999,'FC inventory'!$A$2:$A999,$A$1,'FC inventory'!$B$2:$B999,"BCT",'FC inventory'!$C$2:$C999,"Returned")</f>
        <v>0</v>
      </c>
      <c r="AF6" s="9">
        <f>SUMIFS('FC inventory'!AH2:AH999,'FC inventory'!$A$2:$A999,$A$1,'FC inventory'!$B$2:$B999,"BCT",'FC inventory'!$C$2:$C999,"Returned")</f>
        <v>0</v>
      </c>
    </row>
    <row r="7">
      <c r="A7" s="23" t="s">
        <v>44</v>
      </c>
      <c r="B7" s="24">
        <f t="shared" ref="B7:AF7" si="1">B3+B4-B5+B6</f>
        <v>-2</v>
      </c>
      <c r="C7" s="24">
        <f t="shared" si="1"/>
        <v>0</v>
      </c>
      <c r="D7" s="24">
        <f t="shared" si="1"/>
        <v>0</v>
      </c>
      <c r="E7" s="24">
        <f t="shared" si="1"/>
        <v>-1</v>
      </c>
      <c r="F7" s="24">
        <f t="shared" si="1"/>
        <v>0</v>
      </c>
      <c r="G7" s="24">
        <f t="shared" si="1"/>
        <v>35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-1</v>
      </c>
      <c r="N7" s="24">
        <f t="shared" si="1"/>
        <v>0</v>
      </c>
      <c r="O7" s="24">
        <f t="shared" si="1"/>
        <v>2</v>
      </c>
      <c r="P7" s="24">
        <f t="shared" si="1"/>
        <v>6</v>
      </c>
      <c r="Q7" s="24">
        <f t="shared" si="1"/>
        <v>1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15</v>
      </c>
      <c r="V7" s="24">
        <f t="shared" si="1"/>
        <v>4</v>
      </c>
      <c r="W7" s="24">
        <f t="shared" si="1"/>
        <v>0</v>
      </c>
      <c r="X7" s="24">
        <f t="shared" si="1"/>
        <v>0</v>
      </c>
      <c r="Y7" s="24">
        <f t="shared" si="1"/>
        <v>1</v>
      </c>
      <c r="Z7" s="24">
        <f t="shared" si="1"/>
        <v>2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inventory'!D2:D999,'FC inventory'!$A$2:$A999,"&lt;"&amp;$A$1,'FC inventory'!$B$2:$B999,"Eleyele",'FC inventory'!$C$2:$C999,"In")-sumifs('FC inventory'!D2:D999,'FC inventory'!$A$2:$A999,"&lt;"&amp;$A$1,'FC inventory'!$B$2:$B999,"Eleyele",'FC inventory'!$C$2:$C999,"Out")+SUMIFS('FC inventory'!D2:D999,'FC inventory'!$A$2:$A999,"&lt;"&amp;$A$1,'FC inventory'!$B$2:$B999,"Eleyele",'FC inventory'!$C$2:$C999,"Returned")</f>
        <v>0</v>
      </c>
      <c r="C3" s="9">
        <f>sumifs('FC inventory'!E2:E999,'FC inventory'!$A$2:$A999,"&lt;"&amp;$A$1,'FC inventory'!$B$2:$B999,"Eleyele",'FC inventory'!$C$2:$C999,"In")-sumifs('FC inventory'!E2:E999,'FC inventory'!$A$2:$A999,"&lt;"&amp;$A$1,'FC inventory'!$B$2:$B999,"Eleyele",'FC inventory'!$C$2:$C999,"Out")+SUMIFS('FC inventory'!E2:E999,'FC inventory'!$A$2:$A999,"&lt;"&amp;$A$1,'FC inventory'!$B$2:$B999,"Eleyele",'FC inventory'!$C$2:$C999,"Returned")</f>
        <v>0</v>
      </c>
      <c r="D3" s="9">
        <f>sumifs('FC inventory'!F2:F999,'FC inventory'!$A$2:$A999,"&lt;"&amp;$A$1,'FC inventory'!$B$2:$B999,"Eleyele",'FC inventory'!$C$2:$C999,"In")-sumifs('FC inventory'!F2:F999,'FC inventory'!$A$2:$A999,"&lt;"&amp;$A$1,'FC inventory'!$B$2:$B999,"Eleyele",'FC inventory'!$C$2:$C999,"Out")+SUMIFS('FC inventory'!F2:F999,'FC inventory'!$A$2:$A999,"&lt;"&amp;$A$1,'FC inventory'!$B$2:$B999,"Eleyele",'FC inventory'!$C$2:$C999,"Returned")</f>
        <v>0</v>
      </c>
      <c r="E3" s="9">
        <f>sumifs('FC inventory'!G2:G999,'FC inventory'!$A$2:$A999,"&lt;"&amp;$A$1,'FC inventory'!$B$2:$B999,"Eleyele",'FC inventory'!$C$2:$C999,"In")-sumifs('FC inventory'!G2:G999,'FC inventory'!$A$2:$A999,"&lt;"&amp;$A$1,'FC inventory'!$B$2:$B999,"Eleyele",'FC inventory'!$C$2:$C999,"Out")+SUMIFS('FC inventory'!G2:G999,'FC inventory'!$A$2:$A999,"&lt;"&amp;$A$1,'FC inventory'!$B$2:$B999,"Eleyele",'FC inventory'!$C$2:$C999,"Returned")</f>
        <v>0</v>
      </c>
      <c r="F3" s="9">
        <f>sumifs('FC inventory'!H2:H999,'FC inventory'!$A$2:$A999,"&lt;"&amp;$A$1,'FC inventory'!$B$2:$B999,"Eleyele",'FC inventory'!$C$2:$C999,"In")-sumifs('FC inventory'!H2:H999,'FC inventory'!$A$2:$A999,"&lt;"&amp;$A$1,'FC inventory'!$B$2:$B999,"Eleyele",'FC inventory'!$C$2:$C999,"Out")+SUMIFS('FC inventory'!H2:H999,'FC inventory'!$A$2:$A999,"&lt;"&amp;$A$1,'FC inventory'!$B$2:$B999,"Eleyele",'FC inventory'!$C$2:$C999,"Returned")</f>
        <v>0</v>
      </c>
      <c r="G3" s="9">
        <f>sumifs('FC inventory'!I2:I999,'FC inventory'!$A$2:$A999,"&lt;"&amp;$A$1,'FC inventory'!$B$2:$B999,"Eleyele",'FC inventory'!$C$2:$C999,"In")-sumifs('FC inventory'!I2:I999,'FC inventory'!$A$2:$A999,"&lt;"&amp;$A$1,'FC inventory'!$B$2:$B999,"Eleyele",'FC inventory'!$C$2:$C999,"Out")+SUMIFS('FC inventory'!I2:I999,'FC inventory'!$A$2:$A999,"&lt;"&amp;$A$1,'FC inventory'!$B$2:$B999,"Eleyele",'FC inventory'!$C$2:$C999,"Returned")</f>
        <v>0</v>
      </c>
      <c r="H3" s="9">
        <f>sumifs('FC inventory'!J2:J999,'FC inventory'!$A$2:$A999,"&lt;"&amp;$A$1,'FC inventory'!$B$2:$B999,"Eleyele",'FC inventory'!$C$2:$C999,"In")-sumifs('FC inventory'!J2:J999,'FC inventory'!$A$2:$A999,"&lt;"&amp;$A$1,'FC inventory'!$B$2:$B999,"Eleyele",'FC inventory'!$C$2:$C999,"Out")+SUMIFS('FC inventory'!J2:J999,'FC inventory'!$A$2:$A999,"&lt;"&amp;$A$1,'FC inventory'!$B$2:$B999,"Eleyele",'FC inventory'!$C$2:$C999,"Returned")</f>
        <v>0</v>
      </c>
      <c r="I3" s="9">
        <f>sumifs('FC inventory'!K2:K999,'FC inventory'!$A$2:$A999,"&lt;"&amp;$A$1,'FC inventory'!$B$2:$B999,"Eleyele",'FC inventory'!$C$2:$C999,"In")-sumifs('FC inventory'!K2:K999,'FC inventory'!$A$2:$A999,"&lt;"&amp;$A$1,'FC inventory'!$B$2:$B999,"Eleyele",'FC inventory'!$C$2:$C999,"Out")+SUMIFS('FC inventory'!K2:K999,'FC inventory'!$A$2:$A999,"&lt;"&amp;$A$1,'FC inventory'!$B$2:$B999,"Eleyele",'FC inventory'!$C$2:$C999,"Returned")</f>
        <v>0</v>
      </c>
      <c r="J3" s="9">
        <f>sumifs('FC inventory'!L2:L999,'FC inventory'!$A$2:$A999,"&lt;"&amp;$A$1,'FC inventory'!$B$2:$B999,"Eleyele",'FC inventory'!$C$2:$C999,"In")-sumifs('FC inventory'!L2:L999,'FC inventory'!$A$2:$A999,"&lt;"&amp;$A$1,'FC inventory'!$B$2:$B999,"Eleyele",'FC inventory'!$C$2:$C999,"Out")+SUMIFS('FC inventory'!L2:L999,'FC inventory'!$A$2:$A999,"&lt;"&amp;$A$1,'FC inventory'!$B$2:$B999,"Eleyele",'FC inventory'!$C$2:$C999,"Returned")</f>
        <v>0</v>
      </c>
      <c r="K3" s="9">
        <f>sumifs('FC inventory'!M2:M999,'FC inventory'!$A$2:$A999,"&lt;"&amp;$A$1,'FC inventory'!$B$2:$B999,"Eleyele",'FC inventory'!$C$2:$C999,"In")-sumifs('FC inventory'!M2:M999,'FC inventory'!$A$2:$A999,"&lt;"&amp;$A$1,'FC inventory'!$B$2:$B999,"Eleyele",'FC inventory'!$C$2:$C999,"Out")+SUMIFS('FC inventory'!M2:M999,'FC inventory'!$A$2:$A999,"&lt;"&amp;$A$1,'FC inventory'!$B$2:$B999,"Eleyele",'FC inventory'!$C$2:$C999,"Returned")</f>
        <v>0</v>
      </c>
      <c r="L3" s="9">
        <f>sumifs('FC inventory'!N2:N999,'FC inventory'!$A$2:$A999,"&lt;"&amp;$A$1,'FC inventory'!$B$2:$B999,"Eleyele",'FC inventory'!$C$2:$C999,"In")-sumifs('FC inventory'!N2:N999,'FC inventory'!$A$2:$A999,"&lt;"&amp;$A$1,'FC inventory'!$B$2:$B999,"Eleyele",'FC inventory'!$C$2:$C999,"Out")+SUMIFS('FC inventory'!N2:N999,'FC inventory'!$A$2:$A999,"&lt;"&amp;$A$1,'FC inventory'!$B$2:$B999,"Eleyele",'FC inventory'!$C$2:$C999,"Returned")</f>
        <v>0</v>
      </c>
      <c r="M3" s="9">
        <f>sumifs('FC inventory'!O2:O999,'FC inventory'!$A$2:$A999,"&lt;"&amp;$A$1,'FC inventory'!$B$2:$B999,"Eleyele",'FC inventory'!$C$2:$C999,"In")-sumifs('FC inventory'!O2:O999,'FC inventory'!$A$2:$A999,"&lt;"&amp;$A$1,'FC inventory'!$B$2:$B999,"Eleyele",'FC inventory'!$C$2:$C999,"Out")+SUMIFS('FC inventory'!O2:O999,'FC inventory'!$A$2:$A999,"&lt;"&amp;$A$1,'FC inventory'!$B$2:$B999,"Eleyele",'FC inventory'!$C$2:$C999,"Returned")</f>
        <v>0</v>
      </c>
      <c r="N3" s="9">
        <f>sumifs('FC inventory'!P2:P999,'FC inventory'!$A$2:$A999,"&lt;"&amp;$A$1,'FC inventory'!$B$2:$B999,"Eleyele",'FC inventory'!$C$2:$C999,"In")-sumifs('FC inventory'!P2:P999,'FC inventory'!$A$2:$A999,"&lt;"&amp;$A$1,'FC inventory'!$B$2:$B999,"Eleyele",'FC inventory'!$C$2:$C999,"Out")+SUMIFS('FC inventory'!P2:P999,'FC inventory'!$A$2:$A999,"&lt;"&amp;$A$1,'FC inventory'!$B$2:$B999,"Eleyele",'FC inventory'!$C$2:$C999,"Returned")</f>
        <v>0</v>
      </c>
      <c r="O3" s="9">
        <f>sumifs('FC inventory'!Q2:Q999,'FC inventory'!$A$2:$A999,"&lt;"&amp;$A$1,'FC inventory'!$B$2:$B999,"Eleyele",'FC inventory'!$C$2:$C999,"In")-sumifs('FC inventory'!Q2:Q999,'FC inventory'!$A$2:$A999,"&lt;"&amp;$A$1,'FC inventory'!$B$2:$B999,"Eleyele",'FC inventory'!$C$2:$C999,"Out")+SUMIFS('FC inventory'!Q2:Q999,'FC inventory'!$A$2:$A999,"&lt;"&amp;$A$1,'FC inventory'!$B$2:$B999,"Eleyele",'FC inventory'!$C$2:$C999,"Returned")</f>
        <v>0</v>
      </c>
      <c r="P3" s="9">
        <f>sumifs('FC inventory'!R2:R999,'FC inventory'!$A$2:$A999,"&lt;"&amp;$A$1,'FC inventory'!$B$2:$B999,"Eleyele",'FC inventory'!$C$2:$C999,"In")-sumifs('FC inventory'!R2:R999,'FC inventory'!$A$2:$A999,"&lt;"&amp;$A$1,'FC inventory'!$B$2:$B999,"Eleyele",'FC inventory'!$C$2:$C999,"Out")+SUMIFS('FC inventory'!R2:R999,'FC inventory'!$A$2:$A999,"&lt;"&amp;$A$1,'FC inventory'!$B$2:$B999,"Eleyele",'FC inventory'!$C$2:$C999,"Returned")</f>
        <v>0</v>
      </c>
      <c r="Q3" s="9">
        <f>sumifs('FC inventory'!S2:S999,'FC inventory'!$A$2:$A999,"&lt;"&amp;$A$1,'FC inventory'!$B$2:$B999,"Eleyele",'FC inventory'!$C$2:$C999,"In")-sumifs('FC inventory'!S2:S999,'FC inventory'!$A$2:$A999,"&lt;"&amp;$A$1,'FC inventory'!$B$2:$B999,"Eleyele",'FC inventory'!$C$2:$C999,"Out")+SUMIFS('FC inventory'!S2:S999,'FC inventory'!$A$2:$A999,"&lt;"&amp;$A$1,'FC inventory'!$B$2:$B999,"Eleyele",'FC inventory'!$C$2:$C999,"Returned")</f>
        <v>0</v>
      </c>
      <c r="R3" s="9">
        <f>sumifs('FC inventory'!T2:T999,'FC inventory'!$A$2:$A999,"&lt;"&amp;$A$1,'FC inventory'!$B$2:$B999,"Eleyele",'FC inventory'!$C$2:$C999,"In")-sumifs('FC inventory'!T2:T999,'FC inventory'!$A$2:$A999,"&lt;"&amp;$A$1,'FC inventory'!$B$2:$B999,"Eleyele",'FC inventory'!$C$2:$C999,"Out")+SUMIFS('FC inventory'!T2:T999,'FC inventory'!$A$2:$A999,"&lt;"&amp;$A$1,'FC inventory'!$B$2:$B999,"Eleyele",'FC inventory'!$C$2:$C999,"Returned")</f>
        <v>0</v>
      </c>
      <c r="S3" s="9">
        <f>sumifs('FC inventory'!U2:U999,'FC inventory'!$A$2:$A999,"&lt;"&amp;$A$1,'FC inventory'!$B$2:$B999,"Eleyele",'FC inventory'!$C$2:$C999,"In")-sumifs('FC inventory'!U2:U999,'FC inventory'!$A$2:$A999,"&lt;"&amp;$A$1,'FC inventory'!$B$2:$B999,"Eleyele",'FC inventory'!$C$2:$C999,"Out")+SUMIFS('FC inventory'!U2:U999,'FC inventory'!$A$2:$A999,"&lt;"&amp;$A$1,'FC inventory'!$B$2:$B999,"Eleyele",'FC inventory'!$C$2:$C999,"Returned")</f>
        <v>0</v>
      </c>
      <c r="T3" s="9">
        <f>sumifs('FC inventory'!V2:V999,'FC inventory'!$A$2:$A999,"&lt;"&amp;$A$1,'FC inventory'!$B$2:$B999,"Eleyele",'FC inventory'!$C$2:$C999,"In")-sumifs('FC inventory'!V2:V999,'FC inventory'!$A$2:$A999,"&lt;"&amp;$A$1,'FC inventory'!$B$2:$B999,"Eleyele",'FC inventory'!$C$2:$C999,"Out")+SUMIFS('FC inventory'!V2:V999,'FC inventory'!$A$2:$A999,"&lt;"&amp;$A$1,'FC inventory'!$B$2:$B999,"Eleyele",'FC inventory'!$C$2:$C999,"Returned")</f>
        <v>0</v>
      </c>
      <c r="U3" s="9">
        <f>sumifs('FC inventory'!W2:W999,'FC inventory'!$A$2:$A999,"&lt;"&amp;$A$1,'FC inventory'!$B$2:$B999,"Eleyele",'FC inventory'!$C$2:$C999,"In")-sumifs('FC inventory'!W2:W999,'FC inventory'!$A$2:$A999,"&lt;"&amp;$A$1,'FC inventory'!$B$2:$B999,"Eleyele",'FC inventory'!$C$2:$C999,"Out")+SUMIFS('FC inventory'!W2:W999,'FC inventory'!$A$2:$A999,"&lt;"&amp;$A$1,'FC inventory'!$B$2:$B999,"Eleyele",'FC inventory'!$C$2:$C999,"Returned")</f>
        <v>0</v>
      </c>
      <c r="V3" s="9">
        <f>sumifs('FC inventory'!X2:X999,'FC inventory'!$A$2:$A999,"&lt;"&amp;$A$1,'FC inventory'!$B$2:$B999,"Eleyele",'FC inventory'!$C$2:$C999,"In")-sumifs('FC inventory'!X2:X999,'FC inventory'!$A$2:$A999,"&lt;"&amp;$A$1,'FC inventory'!$B$2:$B999,"Eleyele",'FC inventory'!$C$2:$C999,"Out")+SUMIFS('FC inventory'!X2:X999,'FC inventory'!$A$2:$A999,"&lt;"&amp;$A$1,'FC inventory'!$B$2:$B999,"Eleyele",'FC inventory'!$C$2:$C999,"Returned")</f>
        <v>0</v>
      </c>
      <c r="W3" s="9">
        <f>sumifs('FC inventory'!Y2:Y999,'FC inventory'!$A$2:$A999,"&lt;"&amp;$A$1,'FC inventory'!$B$2:$B999,"Eleyele",'FC inventory'!$C$2:$C999,"In")-sumifs('FC inventory'!Y2:Y999,'FC inventory'!$A$2:$A999,"&lt;"&amp;$A$1,'FC inventory'!$B$2:$B999,"Eleyele",'FC inventory'!$C$2:$C999,"Out")+SUMIFS('FC inventory'!Y2:Y999,'FC inventory'!$A$2:$A999,"&lt;"&amp;$A$1,'FC inventory'!$B$2:$B999,"Eleyele",'FC inventory'!$C$2:$C999,"Returned")</f>
        <v>0</v>
      </c>
      <c r="X3" s="9">
        <f>sumifs('FC inventory'!Z2:Z999,'FC inventory'!$A$2:$A999,"&lt;"&amp;$A$1,'FC inventory'!$B$2:$B999,"Eleyele",'FC inventory'!$C$2:$C999,"In")-sumifs('FC inventory'!Z2:Z999,'FC inventory'!$A$2:$A999,"&lt;"&amp;$A$1,'FC inventory'!$B$2:$B999,"Eleyele",'FC inventory'!$C$2:$C999,"Out")+SUMIFS('FC inventory'!Z2:Z999,'FC inventory'!$A$2:$A999,"&lt;"&amp;$A$1,'FC inventory'!$B$2:$B999,"Eleyele",'FC inventory'!$C$2:$C999,"Returned")</f>
        <v>0</v>
      </c>
      <c r="Y3" s="9">
        <f>sumifs('FC inventory'!AA2:AA999,'FC inventory'!$A$2:$A999,"&lt;"&amp;$A$1,'FC inventory'!$B$2:$B999,"Eleyele",'FC inventory'!$C$2:$C999,"In")-sumifs('FC inventory'!AA2:AA999,'FC inventory'!$A$2:$A999,"&lt;"&amp;$A$1,'FC inventory'!$B$2:$B999,"Eleyele",'FC inventory'!$C$2:$C999,"Out")+SUMIFS('FC inventory'!AA2:AA999,'FC inventory'!$A$2:$A999,"&lt;"&amp;$A$1,'FC inventory'!$B$2:$B999,"Eleyele",'FC inventory'!$C$2:$C999,"Returned")</f>
        <v>0</v>
      </c>
      <c r="Z3" s="9">
        <f>sumifs('FC inventory'!AB2:AB999,'FC inventory'!$A$2:$A999,"&lt;"&amp;$A$1,'FC inventory'!$B$2:$B999,"Eleyele",'FC inventory'!$C$2:$C999,"In")-sumifs('FC inventory'!AB2:AB999,'FC inventory'!$A$2:$A999,"&lt;"&amp;$A$1,'FC inventory'!$B$2:$B999,"Eleyele",'FC inventory'!$C$2:$C999,"Out")+SUMIFS('FC inventory'!AB2:AB999,'FC inventory'!$A$2:$A999,"&lt;"&amp;$A$1,'FC inventory'!$B$2:$B999,"Eleyele",'FC inventory'!$C$2:$C999,"Returned")</f>
        <v>0</v>
      </c>
      <c r="AA3" s="9">
        <f>sumifs('FC inventory'!AC2:AC999,'FC inventory'!$A$2:$A999,"&lt;"&amp;$A$1,'FC inventory'!$B$2:$B999,"Eleyele",'FC inventory'!$C$2:$C999,"In")-sumifs('FC inventory'!AC2:AC999,'FC inventory'!$A$2:$A999,"&lt;"&amp;$A$1,'FC inventory'!$B$2:$B999,"Eleyele",'FC inventory'!$C$2:$C999,"Out")+SUMIFS('FC inventory'!AC2:AC999,'FC inventory'!$A$2:$A999,"&lt;"&amp;$A$1,'FC inventory'!$B$2:$B999,"Eleyele",'FC inventory'!$C$2:$C999,"Returned")</f>
        <v>0</v>
      </c>
      <c r="AB3" s="9">
        <f>sumifs('FC inventory'!AD2:AD999,'FC inventory'!$A$2:$A999,"&lt;"&amp;$A$1,'FC inventory'!$B$2:$B999,"Eleyele",'FC inventory'!$C$2:$C999,"In")-sumifs('FC inventory'!AD2:AD999,'FC inventory'!$A$2:$A999,"&lt;"&amp;$A$1,'FC inventory'!$B$2:$B999,"Eleyele",'FC inventory'!$C$2:$C999,"Out")+SUMIFS('FC inventory'!AD2:AD999,'FC inventory'!$A$2:$A999,"&lt;"&amp;$A$1,'FC inventory'!$B$2:$B999,"Eleyele",'FC inventory'!$C$2:$C999,"Returned")</f>
        <v>0</v>
      </c>
      <c r="AC3" s="9">
        <f>sumifs('FC inventory'!AE2:AE999,'FC inventory'!$A$2:$A999,"&lt;"&amp;$A$1,'FC inventory'!$B$2:$B999,"Eleyele",'FC inventory'!$C$2:$C999,"In")-sumifs('FC inventory'!AE2:AE999,'FC inventory'!$A$2:$A999,"&lt;"&amp;$A$1,'FC inventory'!$B$2:$B999,"Eleyele",'FC inventory'!$C$2:$C999,"Out")+SUMIFS('FC inventory'!AE2:AE999,'FC inventory'!$A$2:$A999,"&lt;"&amp;$A$1,'FC inventory'!$B$2:$B999,"Eleyele",'FC inventory'!$C$2:$C999,"Returned")</f>
        <v>0</v>
      </c>
      <c r="AD3" s="9">
        <f>sumifs('FC inventory'!AF2:AF999,'FC inventory'!$A$2:$A999,"&lt;"&amp;$A$1,'FC inventory'!$B$2:$B999,"Eleyele",'FC inventory'!$C$2:$C999,"In")-sumifs('FC inventory'!AF2:AF999,'FC inventory'!$A$2:$A999,"&lt;"&amp;$A$1,'FC inventory'!$B$2:$B999,"Eleyele",'FC inventory'!$C$2:$C999,"Out")+SUMIFS('FC inventory'!AF2:AF999,'FC inventory'!$A$2:$A999,"&lt;"&amp;$A$1,'FC inventory'!$B$2:$B999,"Eleyele",'FC inventory'!$C$2:$C999,"Returned")</f>
        <v>0</v>
      </c>
      <c r="AE3" s="9">
        <f>sumifs('FC inventory'!AG2:AG999,'FC inventory'!$A$2:$A999,"&lt;"&amp;$A$1,'FC inventory'!$B$2:$B999,"Eleyele",'FC inventory'!$C$2:$C999,"In")-sumifs('FC inventory'!AG2:AG999,'FC inventory'!$A$2:$A999,"&lt;"&amp;$A$1,'FC inventory'!$B$2:$B999,"Eleyele",'FC inventory'!$C$2:$C999,"Out")+SUMIFS('FC inventory'!AG2:AG999,'FC inventory'!$A$2:$A999,"&lt;"&amp;$A$1,'FC inventory'!$B$2:$B999,"Eleyele",'FC inventory'!$C$2:$C999,"Returned")</f>
        <v>0</v>
      </c>
      <c r="AF3" s="9">
        <f>sumifs('FC inventory'!AH2:AH999,'FC inventory'!$A$2:$A999,"&lt;"&amp;$A$1,'FC inventory'!$B$2:$B999,"Eleyele",'FC inventory'!$C$2:$C999,"In")-sumifs('FC inventory'!AH2:AH999,'FC inventory'!$A$2:$A999,"&lt;"&amp;$A$1,'FC inventory'!$B$2:$B999,"Eleyele",'FC inventory'!$C$2:$C999,"Out")+SUMIFS('FC inventory'!AH2:AH999,'FC inventory'!$A$2:$A999,"&lt;"&amp;$A$1,'FC inventory'!$B$2:$B999,"Eleyele",'FC inventory'!$C$2:$C999,"Returned")</f>
        <v>0</v>
      </c>
    </row>
    <row r="4">
      <c r="A4" s="20" t="s">
        <v>35</v>
      </c>
      <c r="B4" s="21">
        <f>sumifs('FC inventory'!D2:D999,'FC inventory'!$A$2:$A999,$A$1,'FC inventory'!$B$2:$B999,"Eleyele",'FC inventory'!$C$2:$C999,"In")</f>
        <v>0</v>
      </c>
      <c r="C4" s="21">
        <f>sumifs('FC inventory'!E2:E999,'FC inventory'!$A$2:$A999,$A$1,'FC inventory'!$B$2:$B999,"Eleyele",'FC inventory'!$C$2:$C999,"In")</f>
        <v>0</v>
      </c>
      <c r="D4" s="21">
        <f>sumifs('FC inventory'!F2:F999,'FC inventory'!$A$2:$A999,$A$1,'FC inventory'!$B$2:$B999,"Eleyele",'FC inventory'!$C$2:$C999,"In")</f>
        <v>0</v>
      </c>
      <c r="E4" s="21">
        <f>sumifs('FC inventory'!G2:G999,'FC inventory'!$A$2:$A999,$A$1,'FC inventory'!$B$2:$B999,"Eleyele",'FC inventory'!$C$2:$C999,"In")</f>
        <v>0</v>
      </c>
      <c r="F4" s="21">
        <f>sumifs('FC inventory'!H2:H999,'FC inventory'!$A$2:$A999,$A$1,'FC inventory'!$B$2:$B999,"Eleyele",'FC inventory'!$C$2:$C999,"In")</f>
        <v>0</v>
      </c>
      <c r="G4" s="21">
        <f>sumifs('FC inventory'!I2:I999,'FC inventory'!$A$2:$A999,$A$1,'FC inventory'!$B$2:$B999,"Eleyele",'FC inventory'!$C$2:$C999,"In")</f>
        <v>0</v>
      </c>
      <c r="H4" s="21">
        <f>sumifs('FC inventory'!J2:J999,'FC inventory'!$A$2:$A999,$A$1,'FC inventory'!$B$2:$B999,"Eleyele",'FC inventory'!$C$2:$C999,"In")</f>
        <v>0</v>
      </c>
      <c r="I4" s="21">
        <f>sumifs('FC inventory'!K2:K999,'FC inventory'!$A$2:$A999,$A$1,'FC inventory'!$B$2:$B999,"Eleyele",'FC inventory'!$C$2:$C999,"In")</f>
        <v>0</v>
      </c>
      <c r="J4" s="21">
        <f>sumifs('FC inventory'!L2:L999,'FC inventory'!$A$2:$A999,$A$1,'FC inventory'!$B$2:$B999,"Eleyele",'FC inventory'!$C$2:$C999,"In")</f>
        <v>0</v>
      </c>
      <c r="K4" s="21">
        <f>sumifs('FC inventory'!M2:M999,'FC inventory'!$A$2:$A999,$A$1,'FC inventory'!$B$2:$B999,"Eleyele",'FC inventory'!$C$2:$C999,"In")</f>
        <v>0</v>
      </c>
      <c r="L4" s="21">
        <f>sumifs('FC inventory'!N2:N999,'FC inventory'!$A$2:$A999,$A$1,'FC inventory'!$B$2:$B999,"Eleyele",'FC inventory'!$C$2:$C999,"In")</f>
        <v>0</v>
      </c>
      <c r="M4" s="21">
        <f>sumifs('FC inventory'!O2:O999,'FC inventory'!$A$2:$A999,$A$1,'FC inventory'!$B$2:$B999,"Eleyele",'FC inventory'!$C$2:$C999,"In")</f>
        <v>0</v>
      </c>
      <c r="N4" s="21">
        <f>sumifs('FC inventory'!P2:P999,'FC inventory'!$A$2:$A999,$A$1,'FC inventory'!$B$2:$B999,"Eleyele",'FC inventory'!$C$2:$C999,"In")</f>
        <v>0</v>
      </c>
      <c r="O4" s="21">
        <f>sumifs('FC inventory'!Q2:Q999,'FC inventory'!$A$2:$A999,$A$1,'FC inventory'!$B$2:$B999,"Eleyele",'FC inventory'!$C$2:$C999,"In")</f>
        <v>0</v>
      </c>
      <c r="P4" s="21">
        <f>sumifs('FC inventory'!R2:R999,'FC inventory'!$A$2:$A999,$A$1,'FC inventory'!$B$2:$B999,"Eleyele",'FC inventory'!$C$2:$C999,"In")</f>
        <v>0</v>
      </c>
      <c r="Q4" s="21">
        <f>sumifs('FC inventory'!S2:S999,'FC inventory'!$A$2:$A999,$A$1,'FC inventory'!$B$2:$B999,"Eleyele",'FC inventory'!$C$2:$C999,"In")</f>
        <v>0</v>
      </c>
      <c r="R4" s="21">
        <f>sumifs('FC inventory'!T2:T999,'FC inventory'!$A$2:$A999,$A$1,'FC inventory'!$B$2:$B999,"Eleyele",'FC inventory'!$C$2:$C999,"In")</f>
        <v>0</v>
      </c>
      <c r="S4" s="21">
        <f>sumifs('FC inventory'!U2:U999,'FC inventory'!$A$2:$A999,$A$1,'FC inventory'!$B$2:$B999,"Eleyele",'FC inventory'!$C$2:$C999,"In")</f>
        <v>0</v>
      </c>
      <c r="T4" s="21">
        <f>sumifs('FC inventory'!V2:V999,'FC inventory'!$A$2:$A999,$A$1,'FC inventory'!$B$2:$B999,"Eleyele",'FC inventory'!$C$2:$C999,"In")</f>
        <v>0</v>
      </c>
      <c r="U4" s="21">
        <f>sumifs('FC inventory'!W2:W999,'FC inventory'!$A$2:$A999,$A$1,'FC inventory'!$B$2:$B999,"Eleyele",'FC inventory'!$C$2:$C999,"In")</f>
        <v>0</v>
      </c>
      <c r="V4" s="21">
        <f>sumifs('FC inventory'!X2:X999,'FC inventory'!$A$2:$A999,$A$1,'FC inventory'!$B$2:$B999,"Eleyele",'FC inventory'!$C$2:$C999,"In")</f>
        <v>0</v>
      </c>
      <c r="W4" s="21">
        <f>sumifs('FC inventory'!Y2:Y999,'FC inventory'!$A$2:$A999,$A$1,'FC inventory'!$B$2:$B999,"Eleyele",'FC inventory'!$C$2:$C999,"In")</f>
        <v>0</v>
      </c>
      <c r="X4" s="21">
        <f>sumifs('FC inventory'!Z2:Z999,'FC inventory'!$A$2:$A999,$A$1,'FC inventory'!$B$2:$B999,"Eleyele",'FC inventory'!$C$2:$C999,"In")</f>
        <v>0</v>
      </c>
      <c r="Y4" s="21">
        <f>sumifs('FC inventory'!AA2:AA999,'FC inventory'!$A$2:$A999,$A$1,'FC inventory'!$B$2:$B999,"Eleyele",'FC inventory'!$C$2:$C999,"In")</f>
        <v>0</v>
      </c>
      <c r="Z4" s="21">
        <f>sumifs('FC inventory'!AB2:AB999,'FC inventory'!$A$2:$A999,$A$1,'FC inventory'!$B$2:$B999,"Eleyele",'FC inventory'!$C$2:$C999,"In")</f>
        <v>0</v>
      </c>
      <c r="AA4" s="21">
        <f>sumifs('FC inventory'!AC2:AC999,'FC inventory'!$A$2:$A999,$A$1,'FC inventory'!$B$2:$B999,"Eleyele",'FC inventory'!$C$2:$C999,"In")</f>
        <v>0</v>
      </c>
      <c r="AB4" s="21">
        <f>sumifs('FC inventory'!AD2:AD999,'FC inventory'!$A$2:$A999,$A$1,'FC inventory'!$B$2:$B999,"Eleyele",'FC inventory'!$C$2:$C999,"In")</f>
        <v>0</v>
      </c>
      <c r="AC4" s="21">
        <f>sumifs('FC inventory'!AE2:AE999,'FC inventory'!$A$2:$A999,$A$1,'FC inventory'!$B$2:$B999,"Eleyele",'FC inventory'!$C$2:$C999,"In")</f>
        <v>0</v>
      </c>
      <c r="AD4" s="21">
        <f>sumifs('FC inventory'!AF2:AF999,'FC inventory'!$A$2:$A999,$A$1,'FC inventory'!$B$2:$B999,"Eleyele",'FC inventory'!$C$2:$C999,"In")</f>
        <v>0</v>
      </c>
      <c r="AE4" s="21">
        <f>sumifs('FC inventory'!AG2:AG999,'FC inventory'!$A$2:$A999,$A$1,'FC inventory'!$B$2:$B999,"Eleyele",'FC inventory'!$C$2:$C999,"In")</f>
        <v>0</v>
      </c>
      <c r="AF4" s="21">
        <f>sumifs('FC inventory'!AH2:AH999,'FC inventory'!$A$2:$A999,$A$1,'FC inventory'!$B$2:$B999,"Eleyele",'FC inventory'!$C$2:$C999,"In")</f>
        <v>0</v>
      </c>
    </row>
    <row r="5">
      <c r="A5" s="22" t="s">
        <v>38</v>
      </c>
      <c r="B5" s="21">
        <f>sumifs('FC inventory'!D2:D999,'FC inventory'!$A$2:$A999,$A$1,'FC inventory'!$B$2:$B999,"Eleyele",'FC inventory'!$C$2:$C999,"Out")</f>
        <v>0</v>
      </c>
      <c r="C5" s="21">
        <f>sumifs('FC inventory'!E2:E999,'FC inventory'!$A$2:$A999,$A$1,'FC inventory'!$B$2:$B999,"Eleyele",'FC inventory'!$C$2:$C999,"Out")</f>
        <v>0</v>
      </c>
      <c r="D5" s="21">
        <f>sumifs('FC inventory'!F2:F999,'FC inventory'!$A$2:$A999,$A$1,'FC inventory'!$B$2:$B999,"Eleyele",'FC inventory'!$C$2:$C999,"Out")</f>
        <v>0</v>
      </c>
      <c r="E5" s="21">
        <f>sumifs('FC inventory'!G2:G999,'FC inventory'!$A$2:$A999,$A$1,'FC inventory'!$B$2:$B999,"Eleyele",'FC inventory'!$C$2:$C999,"Out")</f>
        <v>0</v>
      </c>
      <c r="F5" s="21">
        <f>sumifs('FC inventory'!H2:H999,'FC inventory'!$A$2:$A999,$A$1,'FC inventory'!$B$2:$B999,"Eleyele",'FC inventory'!$C$2:$C999,"Out")</f>
        <v>0</v>
      </c>
      <c r="G5" s="21">
        <f>sumifs('FC inventory'!I2:I999,'FC inventory'!$A$2:$A999,$A$1,'FC inventory'!$B$2:$B999,"Eleyele",'FC inventory'!$C$2:$C999,"Out")</f>
        <v>0</v>
      </c>
      <c r="H5" s="21">
        <f>sumifs('FC inventory'!J2:J999,'FC inventory'!$A$2:$A999,$A$1,'FC inventory'!$B$2:$B999,"Eleyele",'FC inventory'!$C$2:$C999,"Out")</f>
        <v>0</v>
      </c>
      <c r="I5" s="21">
        <f>sumifs('FC inventory'!K2:K999,'FC inventory'!$A$2:$A999,$A$1,'FC inventory'!$B$2:$B999,"Eleyele",'FC inventory'!$C$2:$C999,"Out")</f>
        <v>0</v>
      </c>
      <c r="J5" s="21">
        <f>sumifs('FC inventory'!L2:L999,'FC inventory'!$A$2:$A999,$A$1,'FC inventory'!$B$2:$B999,"Eleyele",'FC inventory'!$C$2:$C999,"Out")</f>
        <v>0</v>
      </c>
      <c r="K5" s="21">
        <f>sumifs('FC inventory'!M2:M999,'FC inventory'!$A$2:$A999,$A$1,'FC inventory'!$B$2:$B999,"Eleyele",'FC inventory'!$C$2:$C999,"Out")</f>
        <v>0</v>
      </c>
      <c r="L5" s="21">
        <f>sumifs('FC inventory'!N2:N999,'FC inventory'!$A$2:$A999,$A$1,'FC inventory'!$B$2:$B999,"Eleyele",'FC inventory'!$C$2:$C999,"Out")</f>
        <v>0</v>
      </c>
      <c r="M5" s="21">
        <f>sumifs('FC inventory'!O2:O999,'FC inventory'!$A$2:$A999,$A$1,'FC inventory'!$B$2:$B999,"Eleyele",'FC inventory'!$C$2:$C999,"Out")</f>
        <v>0</v>
      </c>
      <c r="N5" s="21">
        <f>sumifs('FC inventory'!P2:P999,'FC inventory'!$A$2:$A999,$A$1,'FC inventory'!$B$2:$B999,"Eleyele",'FC inventory'!$C$2:$C999,"Out")</f>
        <v>0</v>
      </c>
      <c r="O5" s="21">
        <f>sumifs('FC inventory'!Q2:Q999,'FC inventory'!$A$2:$A999,$A$1,'FC inventory'!$B$2:$B999,"Eleyele",'FC inventory'!$C$2:$C999,"Out")</f>
        <v>0</v>
      </c>
      <c r="P5" s="21">
        <f>sumifs('FC inventory'!R2:R999,'FC inventory'!$A$2:$A999,$A$1,'FC inventory'!$B$2:$B999,"Eleyele",'FC inventory'!$C$2:$C999,"Out")</f>
        <v>0</v>
      </c>
      <c r="Q5" s="21">
        <f>sumifs('FC inventory'!S2:S999,'FC inventory'!$A$2:$A999,$A$1,'FC inventory'!$B$2:$B999,"Eleyele",'FC inventory'!$C$2:$C999,"Out")</f>
        <v>0</v>
      </c>
      <c r="R5" s="21">
        <f>sumifs('FC inventory'!T2:T999,'FC inventory'!$A$2:$A999,$A$1,'FC inventory'!$B$2:$B999,"Eleyele",'FC inventory'!$C$2:$C999,"Out")</f>
        <v>0</v>
      </c>
      <c r="S5" s="21">
        <f>sumifs('FC inventory'!U2:U999,'FC inventory'!$A$2:$A999,$A$1,'FC inventory'!$B$2:$B999,"Eleyele",'FC inventory'!$C$2:$C999,"Out")</f>
        <v>0</v>
      </c>
      <c r="T5" s="21">
        <f>sumifs('FC inventory'!V2:V999,'FC inventory'!$A$2:$A999,$A$1,'FC inventory'!$B$2:$B999,"Eleyele",'FC inventory'!$C$2:$C999,"Out")</f>
        <v>0</v>
      </c>
      <c r="U5" s="21">
        <f>sumifs('FC inventory'!W2:W999,'FC inventory'!$A$2:$A999,$A$1,'FC inventory'!$B$2:$B999,"Eleyele",'FC inventory'!$C$2:$C999,"Out")</f>
        <v>0</v>
      </c>
      <c r="V5" s="21">
        <f>sumifs('FC inventory'!X2:X999,'FC inventory'!$A$2:$A999,$A$1,'FC inventory'!$B$2:$B999,"Eleyele",'FC inventory'!$C$2:$C999,"Out")</f>
        <v>0</v>
      </c>
      <c r="W5" s="21">
        <f>sumifs('FC inventory'!Y2:Y999,'FC inventory'!$A$2:$A999,$A$1,'FC inventory'!$B$2:$B999,"Eleyele",'FC inventory'!$C$2:$C999,"Out")</f>
        <v>0</v>
      </c>
      <c r="X5" s="21">
        <f>sumifs('FC inventory'!Z2:Z999,'FC inventory'!$A$2:$A999,$A$1,'FC inventory'!$B$2:$B999,"Eleyele",'FC inventory'!$C$2:$C999,"Out")</f>
        <v>0</v>
      </c>
      <c r="Y5" s="21">
        <f>sumifs('FC inventory'!AA2:AA999,'FC inventory'!$A$2:$A999,$A$1,'FC inventory'!$B$2:$B999,"Eleyele",'FC inventory'!$C$2:$C999,"Out")</f>
        <v>0</v>
      </c>
      <c r="Z5" s="21">
        <f>sumifs('FC inventory'!AB2:AB999,'FC inventory'!$A$2:$A999,$A$1,'FC inventory'!$B$2:$B999,"Eleyele",'FC inventory'!$C$2:$C999,"Out")</f>
        <v>0</v>
      </c>
      <c r="AA5" s="21">
        <f>sumifs('FC inventory'!AC2:AC999,'FC inventory'!$A$2:$A999,$A$1,'FC inventory'!$B$2:$B999,"Eleyele",'FC inventory'!$C$2:$C999,"Out")</f>
        <v>0</v>
      </c>
      <c r="AB5" s="21">
        <f>sumifs('FC inventory'!AD2:AD999,'FC inventory'!$A$2:$A999,$A$1,'FC inventory'!$B$2:$B999,"Eleyele",'FC inventory'!$C$2:$C999,"Out")</f>
        <v>0</v>
      </c>
      <c r="AC5" s="21">
        <f>sumifs('FC inventory'!AE2:AE999,'FC inventory'!$A$2:$A999,$A$1,'FC inventory'!$B$2:$B999,"Eleyele",'FC inventory'!$C$2:$C999,"Out")</f>
        <v>0</v>
      </c>
      <c r="AD5" s="21">
        <f>sumifs('FC inventory'!AF2:AF999,'FC inventory'!$A$2:$A999,$A$1,'FC inventory'!$B$2:$B999,"Eleyele",'FC inventory'!$C$2:$C999,"Out")</f>
        <v>0</v>
      </c>
      <c r="AE5" s="21">
        <f>sumifs('FC inventory'!AG2:AG999,'FC inventory'!$A$2:$A999,$A$1,'FC inventory'!$B$2:$B999,"Eleyele",'FC inventory'!$C$2:$C999,"Out")</f>
        <v>0</v>
      </c>
      <c r="AF5" s="21">
        <f>sumifs('FC inventory'!AH2:AH999,'FC inventory'!$A$2:$A999,$A$1,'FC inventory'!$B$2:$B999,"Eleyele",'FC inventory'!$C$2:$C999,"Out")</f>
        <v>0</v>
      </c>
    </row>
    <row r="6">
      <c r="A6" s="20" t="s">
        <v>43</v>
      </c>
      <c r="B6" s="9">
        <f>SUMIFS('FC inventory'!D2:D999,'FC inventory'!$A$2:$A999,$A$1,'FC inventory'!$B$2:$B999,"Eleyele",'FC inventory'!$C$2:$C999,"Returned")</f>
        <v>0</v>
      </c>
      <c r="C6" s="9">
        <f>SUMIFS('FC inventory'!E2:E999,'FC inventory'!$A$2:$A999,$A$1,'FC inventory'!$B$2:$B999,"Eleyele",'FC inventory'!$C$2:$C999,"Returned")</f>
        <v>0</v>
      </c>
      <c r="D6" s="9">
        <f>SUMIFS('FC inventory'!F2:F999,'FC inventory'!$A$2:$A999,$A$1,'FC inventory'!$B$2:$B999,"Eleyele",'FC inventory'!$C$2:$C999,"Returned")</f>
        <v>0</v>
      </c>
      <c r="E6" s="9">
        <f>SUMIFS('FC inventory'!G2:G999,'FC inventory'!$A$2:$A999,$A$1,'FC inventory'!$B$2:$B999,"Eleyele",'FC inventory'!$C$2:$C999,"Returned")</f>
        <v>0</v>
      </c>
      <c r="F6" s="9">
        <f>SUMIFS('FC inventory'!H2:H999,'FC inventory'!$A$2:$A999,$A$1,'FC inventory'!$B$2:$B999,"Eleyele",'FC inventory'!$C$2:$C999,"Returned")</f>
        <v>0</v>
      </c>
      <c r="G6" s="9">
        <f>SUMIFS('FC inventory'!I2:I999,'FC inventory'!$A$2:$A999,$A$1,'FC inventory'!$B$2:$B999,"Eleyele",'FC inventory'!$C$2:$C999,"Returned")</f>
        <v>0</v>
      </c>
      <c r="H6" s="9">
        <f>SUMIFS('FC inventory'!J2:J999,'FC inventory'!$A$2:$A999,$A$1,'FC inventory'!$B$2:$B999,"Eleyele",'FC inventory'!$C$2:$C999,"Returned")</f>
        <v>0</v>
      </c>
      <c r="I6" s="9">
        <f>SUMIFS('FC inventory'!K2:K999,'FC inventory'!$A$2:$A999,$A$1,'FC inventory'!$B$2:$B999,"Eleyele",'FC inventory'!$C$2:$C999,"Returned")</f>
        <v>0</v>
      </c>
      <c r="J6" s="9">
        <f>SUMIFS('FC inventory'!L2:L999,'FC inventory'!$A$2:$A999,$A$1,'FC inventory'!$B$2:$B999,"Eleyele",'FC inventory'!$C$2:$C999,"Returned")</f>
        <v>0</v>
      </c>
      <c r="K6" s="9">
        <f>SUMIFS('FC inventory'!M2:M999,'FC inventory'!$A$2:$A999,$A$1,'FC inventory'!$B$2:$B999,"Eleyele",'FC inventory'!$C$2:$C999,"Returned")</f>
        <v>0</v>
      </c>
      <c r="L6" s="9">
        <f>SUMIFS('FC inventory'!N2:N999,'FC inventory'!$A$2:$A999,$A$1,'FC inventory'!$B$2:$B999,"Eleyele",'FC inventory'!$C$2:$C999,"Returned")</f>
        <v>0</v>
      </c>
      <c r="M6" s="9">
        <f>SUMIFS('FC inventory'!O2:O999,'FC inventory'!$A$2:$A999,$A$1,'FC inventory'!$B$2:$B999,"Eleyele",'FC inventory'!$C$2:$C999,"Returned")</f>
        <v>0</v>
      </c>
      <c r="N6" s="9">
        <f>SUMIFS('FC inventory'!P2:P999,'FC inventory'!$A$2:$A999,$A$1,'FC inventory'!$B$2:$B999,"Eleyele",'FC inventory'!$C$2:$C999,"Returned")</f>
        <v>0</v>
      </c>
      <c r="O6" s="9">
        <f>SUMIFS('FC inventory'!Q2:Q999,'FC inventory'!$A$2:$A999,$A$1,'FC inventory'!$B$2:$B999,"Eleyele",'FC inventory'!$C$2:$C999,"Returned")</f>
        <v>0</v>
      </c>
      <c r="P6" s="9">
        <f>SUMIFS('FC inventory'!R2:R999,'FC inventory'!$A$2:$A999,$A$1,'FC inventory'!$B$2:$B999,"Eleyele",'FC inventory'!$C$2:$C999,"Returned")</f>
        <v>0</v>
      </c>
      <c r="Q6" s="9">
        <f>SUMIFS('FC inventory'!S2:S999,'FC inventory'!$A$2:$A999,$A$1,'FC inventory'!$B$2:$B999,"Eleyele",'FC inventory'!$C$2:$C999,"Returned")</f>
        <v>0</v>
      </c>
      <c r="R6" s="9">
        <f>SUMIFS('FC inventory'!T2:T999,'FC inventory'!$A$2:$A999,$A$1,'FC inventory'!$B$2:$B999,"Eleyele",'FC inventory'!$C$2:$C999,"Returned")</f>
        <v>0</v>
      </c>
      <c r="S6" s="9">
        <f>SUMIFS('FC inventory'!U2:U999,'FC inventory'!$A$2:$A999,$A$1,'FC inventory'!$B$2:$B999,"Eleyele",'FC inventory'!$C$2:$C999,"Returned")</f>
        <v>0</v>
      </c>
      <c r="T6" s="9">
        <f>SUMIFS('FC inventory'!V2:V999,'FC inventory'!$A$2:$A999,$A$1,'FC inventory'!$B$2:$B999,"Eleyele",'FC inventory'!$C$2:$C999,"Returned")</f>
        <v>0</v>
      </c>
      <c r="U6" s="9">
        <f>SUMIFS('FC inventory'!W2:W999,'FC inventory'!$A$2:$A999,$A$1,'FC inventory'!$B$2:$B999,"Eleyele",'FC inventory'!$C$2:$C999,"Returned")</f>
        <v>0</v>
      </c>
      <c r="V6" s="9">
        <f>SUMIFS('FC inventory'!X2:X999,'FC inventory'!$A$2:$A999,$A$1,'FC inventory'!$B$2:$B999,"Eleyele",'FC inventory'!$C$2:$C999,"Returned")</f>
        <v>0</v>
      </c>
      <c r="W6" s="9">
        <f>SUMIFS('FC inventory'!Y2:Y999,'FC inventory'!$A$2:$A999,$A$1,'FC inventory'!$B$2:$B999,"Eleyele",'FC inventory'!$C$2:$C999,"Returned")</f>
        <v>0</v>
      </c>
      <c r="X6" s="9">
        <f>SUMIFS('FC inventory'!Z2:Z999,'FC inventory'!$A$2:$A999,$A$1,'FC inventory'!$B$2:$B999,"Eleyele",'FC inventory'!$C$2:$C999,"Returned")</f>
        <v>0</v>
      </c>
      <c r="Y6" s="9">
        <f>SUMIFS('FC inventory'!AA2:AA999,'FC inventory'!$A$2:$A999,$A$1,'FC inventory'!$B$2:$B999,"Eleyele",'FC inventory'!$C$2:$C999,"Returned")</f>
        <v>0</v>
      </c>
      <c r="Z6" s="9">
        <f>SUMIFS('FC inventory'!AB2:AB999,'FC inventory'!$A$2:$A999,$A$1,'FC inventory'!$B$2:$B999,"Eleyele",'FC inventory'!$C$2:$C999,"Returned")</f>
        <v>0</v>
      </c>
      <c r="AA6" s="9">
        <f>SUMIFS('FC inventory'!AC2:AC999,'FC inventory'!$A$2:$A999,$A$1,'FC inventory'!$B$2:$B999,"Eleyele",'FC inventory'!$C$2:$C999,"Returned")</f>
        <v>0</v>
      </c>
      <c r="AB6" s="9">
        <f>SUMIFS('FC inventory'!AD2:AD999,'FC inventory'!$A$2:$A999,$A$1,'FC inventory'!$B$2:$B999,"Eleyele",'FC inventory'!$C$2:$C999,"Returned")</f>
        <v>0</v>
      </c>
      <c r="AC6" s="9">
        <f>SUMIFS('FC inventory'!AE2:AE999,'FC inventory'!$A$2:$A999,$A$1,'FC inventory'!$B$2:$B999,"Eleyele",'FC inventory'!$C$2:$C999,"Returned")</f>
        <v>0</v>
      </c>
      <c r="AD6" s="9">
        <f>SUMIFS('FC inventory'!AF2:AF999,'FC inventory'!$A$2:$A999,$A$1,'FC inventory'!$B$2:$B999,"Eleyele",'FC inventory'!$C$2:$C999,"Returned")</f>
        <v>0</v>
      </c>
      <c r="AE6" s="9">
        <f>SUMIFS('FC inventory'!AG2:AG999,'FC inventory'!$A$2:$A999,$A$1,'FC inventory'!$B$2:$B999,"Eleyele",'FC inventory'!$C$2:$C999,"Returned")</f>
        <v>0</v>
      </c>
      <c r="AF6" s="9">
        <f>SUMIFS('FC inventory'!AH2:AH999,'FC inventory'!$A$2:$A999,$A$1,'FC inventory'!$B$2:$B999,"Eleyele",'FC inventory'!$C$2:$C999,"Returned")</f>
        <v>0</v>
      </c>
    </row>
    <row r="7">
      <c r="A7" s="23" t="s">
        <v>44</v>
      </c>
      <c r="B7" s="24">
        <f t="shared" ref="B7:AF7" si="1">B3+B4-B5+B6</f>
        <v>0</v>
      </c>
      <c r="C7" s="24">
        <f t="shared" si="1"/>
        <v>0</v>
      </c>
      <c r="D7" s="24">
        <f t="shared" si="1"/>
        <v>0</v>
      </c>
      <c r="E7" s="24">
        <f t="shared" si="1"/>
        <v>0</v>
      </c>
      <c r="F7" s="24">
        <f t="shared" si="1"/>
        <v>0</v>
      </c>
      <c r="G7" s="24">
        <f t="shared" si="1"/>
        <v>0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4">
        <f t="shared" si="1"/>
        <v>0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0</v>
      </c>
      <c r="V7" s="24">
        <f t="shared" si="1"/>
        <v>0</v>
      </c>
      <c r="W7" s="24">
        <f t="shared" si="1"/>
        <v>0</v>
      </c>
      <c r="X7" s="24">
        <f t="shared" si="1"/>
        <v>0</v>
      </c>
      <c r="Y7" s="24">
        <f t="shared" si="1"/>
        <v>0</v>
      </c>
      <c r="Z7" s="24">
        <f t="shared" si="1"/>
        <v>0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>
        <f>TODAY()</f>
        <v>45889</v>
      </c>
      <c r="B1" s="4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5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31</v>
      </c>
      <c r="AE1" s="5" t="s">
        <v>32</v>
      </c>
      <c r="AF1" s="5" t="s">
        <v>33</v>
      </c>
    </row>
    <row r="2">
      <c r="A2" s="20" t="s">
        <v>41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</row>
    <row r="3">
      <c r="A3" s="20" t="s">
        <v>42</v>
      </c>
      <c r="B3" s="9">
        <f>sumifs('FC inventory'!D2:D999,'FC inventory'!$A$2:$A999,"&lt;"&amp;$A$1,'FC inventory'!$B$2:$B999,"Felele",'FC inventory'!$C$2:$C999,"In")-sumifs('FC inventory'!D2:D999,'FC inventory'!$A$2:$A999,"&lt;"&amp;$A$1,'FC inventory'!$B$2:$B999,"Felele",'FC inventory'!$C$2:$C999,"Out")+SUMIFS('FC inventory'!D2:D999,'FC inventory'!$A$2:$A999,"&lt;"&amp;$A$1,'FC inventory'!$B$2:$B999,"Felele",'FC inventory'!$C$2:$C999,"Returned")</f>
        <v>0</v>
      </c>
      <c r="C3" s="9">
        <f>sumifs('FC inventory'!E2:E999,'FC inventory'!$A$2:$A999,"&lt;"&amp;$A$1,'FC inventory'!$B$2:$B999,"Felele",'FC inventory'!$C$2:$C999,"In")-sumifs('FC inventory'!E2:E999,'FC inventory'!$A$2:$A999,"&lt;"&amp;$A$1,'FC inventory'!$B$2:$B999,"Felele",'FC inventory'!$C$2:$C999,"Out")+SUMIFS('FC inventory'!E2:E999,'FC inventory'!$A$2:$A999,"&lt;"&amp;$A$1,'FC inventory'!$B$2:$B999,"Felele",'FC inventory'!$C$2:$C999,"Returned")</f>
        <v>0</v>
      </c>
      <c r="D3" s="9">
        <f>sumifs('FC inventory'!F2:F999,'FC inventory'!$A$2:$A999,"&lt;"&amp;$A$1,'FC inventory'!$B$2:$B999,"Felele",'FC inventory'!$C$2:$C999,"In")-sumifs('FC inventory'!F2:F999,'FC inventory'!$A$2:$A999,"&lt;"&amp;$A$1,'FC inventory'!$B$2:$B999,"Felele",'FC inventory'!$C$2:$C999,"Out")+SUMIFS('FC inventory'!F2:F999,'FC inventory'!$A$2:$A999,"&lt;"&amp;$A$1,'FC inventory'!$B$2:$B999,"Felele",'FC inventory'!$C$2:$C999,"Returned")</f>
        <v>0</v>
      </c>
      <c r="E3" s="9">
        <f>sumifs('FC inventory'!G2:G999,'FC inventory'!$A$2:$A999,"&lt;"&amp;$A$1,'FC inventory'!$B$2:$B999,"Felele",'FC inventory'!$C$2:$C999,"In")-sumifs('FC inventory'!G2:G999,'FC inventory'!$A$2:$A999,"&lt;"&amp;$A$1,'FC inventory'!$B$2:$B999,"Felele",'FC inventory'!$C$2:$C999,"Out")+SUMIFS('FC inventory'!G2:G999,'FC inventory'!$A$2:$A999,"&lt;"&amp;$A$1,'FC inventory'!$B$2:$B999,"Felele",'FC inventory'!$C$2:$C999,"Returned")</f>
        <v>0</v>
      </c>
      <c r="F3" s="9">
        <f>sumifs('FC inventory'!H2:H999,'FC inventory'!$A$2:$A999,"&lt;"&amp;$A$1,'FC inventory'!$B$2:$B999,"Felele",'FC inventory'!$C$2:$C999,"In")-sumifs('FC inventory'!H2:H999,'FC inventory'!$A$2:$A999,"&lt;"&amp;$A$1,'FC inventory'!$B$2:$B999,"Felele",'FC inventory'!$C$2:$C999,"Out")+SUMIFS('FC inventory'!H2:H999,'FC inventory'!$A$2:$A999,"&lt;"&amp;$A$1,'FC inventory'!$B$2:$B999,"Felele",'FC inventory'!$C$2:$C999,"Returned")</f>
        <v>0</v>
      </c>
      <c r="G3" s="9">
        <f>sumifs('FC inventory'!I2:I999,'FC inventory'!$A$2:$A999,"&lt;"&amp;$A$1,'FC inventory'!$B$2:$B999,"Felele",'FC inventory'!$C$2:$C999,"In")-sumifs('FC inventory'!I2:I999,'FC inventory'!$A$2:$A999,"&lt;"&amp;$A$1,'FC inventory'!$B$2:$B999,"Felele",'FC inventory'!$C$2:$C999,"Out")+SUMIFS('FC inventory'!I2:I999,'FC inventory'!$A$2:$A999,"&lt;"&amp;$A$1,'FC inventory'!$B$2:$B999,"Felele",'FC inventory'!$C$2:$C999,"Returned")</f>
        <v>26</v>
      </c>
      <c r="H3" s="9">
        <f>sumifs('FC inventory'!J2:J999,'FC inventory'!$A$2:$A999,"&lt;"&amp;$A$1,'FC inventory'!$B$2:$B999,"Felele",'FC inventory'!$C$2:$C999,"In")-sumifs('FC inventory'!J2:J999,'FC inventory'!$A$2:$A999,"&lt;"&amp;$A$1,'FC inventory'!$B$2:$B999,"Felele",'FC inventory'!$C$2:$C999,"Out")+SUMIFS('FC inventory'!J2:J999,'FC inventory'!$A$2:$A999,"&lt;"&amp;$A$1,'FC inventory'!$B$2:$B999,"Felele",'FC inventory'!$C$2:$C999,"Returned")</f>
        <v>0</v>
      </c>
      <c r="I3" s="9">
        <f>sumifs('FC inventory'!K2:K999,'FC inventory'!$A$2:$A999,"&lt;"&amp;$A$1,'FC inventory'!$B$2:$B999,"Felele",'FC inventory'!$C$2:$C999,"In")-sumifs('FC inventory'!K2:K999,'FC inventory'!$A$2:$A999,"&lt;"&amp;$A$1,'FC inventory'!$B$2:$B999,"Felele",'FC inventory'!$C$2:$C999,"Out")+SUMIFS('FC inventory'!K2:K999,'FC inventory'!$A$2:$A999,"&lt;"&amp;$A$1,'FC inventory'!$B$2:$B999,"Felele",'FC inventory'!$C$2:$C999,"Returned")</f>
        <v>0</v>
      </c>
      <c r="J3" s="9">
        <f>sumifs('FC inventory'!L2:L999,'FC inventory'!$A$2:$A999,"&lt;"&amp;$A$1,'FC inventory'!$B$2:$B999,"Felele",'FC inventory'!$C$2:$C999,"In")-sumifs('FC inventory'!L2:L999,'FC inventory'!$A$2:$A999,"&lt;"&amp;$A$1,'FC inventory'!$B$2:$B999,"Felele",'FC inventory'!$C$2:$C999,"Out")+SUMIFS('FC inventory'!L2:L999,'FC inventory'!$A$2:$A999,"&lt;"&amp;$A$1,'FC inventory'!$B$2:$B999,"Felele",'FC inventory'!$C$2:$C999,"Returned")</f>
        <v>0</v>
      </c>
      <c r="K3" s="9">
        <f>sumifs('FC inventory'!M2:M999,'FC inventory'!$A$2:$A999,"&lt;"&amp;$A$1,'FC inventory'!$B$2:$B999,"Felele",'FC inventory'!$C$2:$C999,"In")-sumifs('FC inventory'!M2:M999,'FC inventory'!$A$2:$A999,"&lt;"&amp;$A$1,'FC inventory'!$B$2:$B999,"Felele",'FC inventory'!$C$2:$C999,"Out")+SUMIFS('FC inventory'!M2:M999,'FC inventory'!$A$2:$A999,"&lt;"&amp;$A$1,'FC inventory'!$B$2:$B999,"Felele",'FC inventory'!$C$2:$C999,"Returned")</f>
        <v>0</v>
      </c>
      <c r="L3" s="9">
        <f>sumifs('FC inventory'!N2:N999,'FC inventory'!$A$2:$A999,"&lt;"&amp;$A$1,'FC inventory'!$B$2:$B999,"Felele",'FC inventory'!$C$2:$C999,"In")-sumifs('FC inventory'!N2:N999,'FC inventory'!$A$2:$A999,"&lt;"&amp;$A$1,'FC inventory'!$B$2:$B999,"Felele",'FC inventory'!$C$2:$C999,"Out")+SUMIFS('FC inventory'!N2:N999,'FC inventory'!$A$2:$A999,"&lt;"&amp;$A$1,'FC inventory'!$B$2:$B999,"Felele",'FC inventory'!$C$2:$C999,"Returned")</f>
        <v>0</v>
      </c>
      <c r="M3" s="9">
        <f>sumifs('FC inventory'!O2:O999,'FC inventory'!$A$2:$A999,"&lt;"&amp;$A$1,'FC inventory'!$B$2:$B999,"Felele",'FC inventory'!$C$2:$C999,"In")-sumifs('FC inventory'!O2:O999,'FC inventory'!$A$2:$A999,"&lt;"&amp;$A$1,'FC inventory'!$B$2:$B999,"Felele",'FC inventory'!$C$2:$C999,"Out")+SUMIFS('FC inventory'!O2:O999,'FC inventory'!$A$2:$A999,"&lt;"&amp;$A$1,'FC inventory'!$B$2:$B999,"Felele",'FC inventory'!$C$2:$C999,"Returned")</f>
        <v>0</v>
      </c>
      <c r="N3" s="9">
        <f>sumifs('FC inventory'!P2:P999,'FC inventory'!$A$2:$A999,"&lt;"&amp;$A$1,'FC inventory'!$B$2:$B999,"Felele",'FC inventory'!$C$2:$C999,"In")-sumifs('FC inventory'!P2:P999,'FC inventory'!$A$2:$A999,"&lt;"&amp;$A$1,'FC inventory'!$B$2:$B999,"Felele",'FC inventory'!$C$2:$C999,"Out")+SUMIFS('FC inventory'!P2:P999,'FC inventory'!$A$2:$A999,"&lt;"&amp;$A$1,'FC inventory'!$B$2:$B999,"Felele",'FC inventory'!$C$2:$C999,"Returned")</f>
        <v>0</v>
      </c>
      <c r="O3" s="9">
        <f>sumifs('FC inventory'!Q2:Q999,'FC inventory'!$A$2:$A999,"&lt;"&amp;$A$1,'FC inventory'!$B$2:$B999,"Felele",'FC inventory'!$C$2:$C999,"In")-sumifs('FC inventory'!Q2:Q999,'FC inventory'!$A$2:$A999,"&lt;"&amp;$A$1,'FC inventory'!$B$2:$B999,"Felele",'FC inventory'!$C$2:$C999,"Out")+SUMIFS('FC inventory'!Q2:Q999,'FC inventory'!$A$2:$A999,"&lt;"&amp;$A$1,'FC inventory'!$B$2:$B999,"Felele",'FC inventory'!$C$2:$C999,"Returned")</f>
        <v>8</v>
      </c>
      <c r="P3" s="9">
        <f>sumifs('FC inventory'!R2:R999,'FC inventory'!$A$2:$A999,"&lt;"&amp;$A$1,'FC inventory'!$B$2:$B999,"Felele",'FC inventory'!$C$2:$C999,"In")-sumifs('FC inventory'!R2:R999,'FC inventory'!$A$2:$A999,"&lt;"&amp;$A$1,'FC inventory'!$B$2:$B999,"Felele",'FC inventory'!$C$2:$C999,"Out")+SUMIFS('FC inventory'!R2:R999,'FC inventory'!$A$2:$A999,"&lt;"&amp;$A$1,'FC inventory'!$B$2:$B999,"Felele",'FC inventory'!$C$2:$C999,"Returned")</f>
        <v>8</v>
      </c>
      <c r="Q3" s="9">
        <f>sumifs('FC inventory'!S2:S999,'FC inventory'!$A$2:$A999,"&lt;"&amp;$A$1,'FC inventory'!$B$2:$B999,"Felele",'FC inventory'!$C$2:$C999,"In")-sumifs('FC inventory'!S2:S999,'FC inventory'!$A$2:$A999,"&lt;"&amp;$A$1,'FC inventory'!$B$2:$B999,"Felele",'FC inventory'!$C$2:$C999,"Out")+SUMIFS('FC inventory'!S2:S999,'FC inventory'!$A$2:$A999,"&lt;"&amp;$A$1,'FC inventory'!$B$2:$B999,"Felele",'FC inventory'!$C$2:$C999,"Returned")</f>
        <v>0</v>
      </c>
      <c r="R3" s="9">
        <f>sumifs('FC inventory'!T2:T999,'FC inventory'!$A$2:$A999,"&lt;"&amp;$A$1,'FC inventory'!$B$2:$B999,"Felele",'FC inventory'!$C$2:$C999,"In")-sumifs('FC inventory'!T2:T999,'FC inventory'!$A$2:$A999,"&lt;"&amp;$A$1,'FC inventory'!$B$2:$B999,"Felele",'FC inventory'!$C$2:$C999,"Out")+SUMIFS('FC inventory'!T2:T999,'FC inventory'!$A$2:$A999,"&lt;"&amp;$A$1,'FC inventory'!$B$2:$B999,"Felele",'FC inventory'!$C$2:$C999,"Returned")</f>
        <v>0</v>
      </c>
      <c r="S3" s="9">
        <f>sumifs('FC inventory'!U2:U999,'FC inventory'!$A$2:$A999,"&lt;"&amp;$A$1,'FC inventory'!$B$2:$B999,"Felele",'FC inventory'!$C$2:$C999,"In")-sumifs('FC inventory'!U2:U999,'FC inventory'!$A$2:$A999,"&lt;"&amp;$A$1,'FC inventory'!$B$2:$B999,"Felele",'FC inventory'!$C$2:$C999,"Out")+SUMIFS('FC inventory'!U2:U999,'FC inventory'!$A$2:$A999,"&lt;"&amp;$A$1,'FC inventory'!$B$2:$B999,"Felele",'FC inventory'!$C$2:$C999,"Returned")</f>
        <v>0</v>
      </c>
      <c r="T3" s="9">
        <f>sumifs('FC inventory'!V2:V999,'FC inventory'!$A$2:$A999,"&lt;"&amp;$A$1,'FC inventory'!$B$2:$B999,"Felele",'FC inventory'!$C$2:$C999,"In")-sumifs('FC inventory'!V2:V999,'FC inventory'!$A$2:$A999,"&lt;"&amp;$A$1,'FC inventory'!$B$2:$B999,"Felele",'FC inventory'!$C$2:$C999,"Out")+SUMIFS('FC inventory'!V2:V999,'FC inventory'!$A$2:$A999,"&lt;"&amp;$A$1,'FC inventory'!$B$2:$B999,"Felele",'FC inventory'!$C$2:$C999,"Returned")</f>
        <v>0</v>
      </c>
      <c r="U3" s="9">
        <f>sumifs('FC inventory'!W2:W999,'FC inventory'!$A$2:$A999,"&lt;"&amp;$A$1,'FC inventory'!$B$2:$B999,"Felele",'FC inventory'!$C$2:$C999,"In")-sumifs('FC inventory'!W2:W999,'FC inventory'!$A$2:$A999,"&lt;"&amp;$A$1,'FC inventory'!$B$2:$B999,"Felele",'FC inventory'!$C$2:$C999,"Out")+SUMIFS('FC inventory'!W2:W999,'FC inventory'!$A$2:$A999,"&lt;"&amp;$A$1,'FC inventory'!$B$2:$B999,"Felele",'FC inventory'!$C$2:$C999,"Returned")</f>
        <v>20</v>
      </c>
      <c r="V3" s="9">
        <f>sumifs('FC inventory'!X2:X999,'FC inventory'!$A$2:$A999,"&lt;"&amp;$A$1,'FC inventory'!$B$2:$B999,"Felele",'FC inventory'!$C$2:$C999,"In")-sumifs('FC inventory'!X2:X999,'FC inventory'!$A$2:$A999,"&lt;"&amp;$A$1,'FC inventory'!$B$2:$B999,"Felele",'FC inventory'!$C$2:$C999,"Out")+SUMIFS('FC inventory'!X2:X999,'FC inventory'!$A$2:$A999,"&lt;"&amp;$A$1,'FC inventory'!$B$2:$B999,"Felele",'FC inventory'!$C$2:$C999,"Returned")</f>
        <v>0</v>
      </c>
      <c r="W3" s="9">
        <f>sumifs('FC inventory'!Y2:Y999,'FC inventory'!$A$2:$A999,"&lt;"&amp;$A$1,'FC inventory'!$B$2:$B999,"Felele",'FC inventory'!$C$2:$C999,"In")-sumifs('FC inventory'!Y2:Y999,'FC inventory'!$A$2:$A999,"&lt;"&amp;$A$1,'FC inventory'!$B$2:$B999,"Felele",'FC inventory'!$C$2:$C999,"Out")+SUMIFS('FC inventory'!Y2:Y999,'FC inventory'!$A$2:$A999,"&lt;"&amp;$A$1,'FC inventory'!$B$2:$B999,"Felele",'FC inventory'!$C$2:$C999,"Returned")</f>
        <v>0</v>
      </c>
      <c r="X3" s="9">
        <f>sumifs('FC inventory'!Z2:Z999,'FC inventory'!$A$2:$A999,"&lt;"&amp;$A$1,'FC inventory'!$B$2:$B999,"Felele",'FC inventory'!$C$2:$C999,"In")-sumifs('FC inventory'!Z2:Z999,'FC inventory'!$A$2:$A999,"&lt;"&amp;$A$1,'FC inventory'!$B$2:$B999,"Felele",'FC inventory'!$C$2:$C999,"Out")+SUMIFS('FC inventory'!Z2:Z999,'FC inventory'!$A$2:$A999,"&lt;"&amp;$A$1,'FC inventory'!$B$2:$B999,"Felele",'FC inventory'!$C$2:$C999,"Returned")</f>
        <v>0</v>
      </c>
      <c r="Y3" s="9">
        <f>sumifs('FC inventory'!AA2:AA999,'FC inventory'!$A$2:$A999,"&lt;"&amp;$A$1,'FC inventory'!$B$2:$B999,"Felele",'FC inventory'!$C$2:$C999,"In")-sumifs('FC inventory'!AA2:AA999,'FC inventory'!$A$2:$A999,"&lt;"&amp;$A$1,'FC inventory'!$B$2:$B999,"Felele",'FC inventory'!$C$2:$C999,"Out")+SUMIFS('FC inventory'!AA2:AA999,'FC inventory'!$A$2:$A999,"&lt;"&amp;$A$1,'FC inventory'!$B$2:$B999,"Felele",'FC inventory'!$C$2:$C999,"Returned")</f>
        <v>0</v>
      </c>
      <c r="Z3" s="9">
        <f>sumifs('FC inventory'!AB2:AB999,'FC inventory'!$A$2:$A999,"&lt;"&amp;$A$1,'FC inventory'!$B$2:$B999,"Felele",'FC inventory'!$C$2:$C999,"In")-sumifs('FC inventory'!AB2:AB999,'FC inventory'!$A$2:$A999,"&lt;"&amp;$A$1,'FC inventory'!$B$2:$B999,"Felele",'FC inventory'!$C$2:$C999,"Out")+SUMIFS('FC inventory'!AB2:AB999,'FC inventory'!$A$2:$A999,"&lt;"&amp;$A$1,'FC inventory'!$B$2:$B999,"Felele",'FC inventory'!$C$2:$C999,"Returned")</f>
        <v>1</v>
      </c>
      <c r="AA3" s="9">
        <f>sumifs('FC inventory'!AC2:AC999,'FC inventory'!$A$2:$A999,"&lt;"&amp;$A$1,'FC inventory'!$B$2:$B999,"Felele",'FC inventory'!$C$2:$C999,"In")-sumifs('FC inventory'!AC2:AC999,'FC inventory'!$A$2:$A999,"&lt;"&amp;$A$1,'FC inventory'!$B$2:$B999,"Felele",'FC inventory'!$C$2:$C999,"Out")+SUMIFS('FC inventory'!AC2:AC999,'FC inventory'!$A$2:$A999,"&lt;"&amp;$A$1,'FC inventory'!$B$2:$B999,"Felele",'FC inventory'!$C$2:$C999,"Returned")</f>
        <v>0</v>
      </c>
      <c r="AB3" s="9">
        <f>sumifs('FC inventory'!AD2:AD999,'FC inventory'!$A$2:$A999,"&lt;"&amp;$A$1,'FC inventory'!$B$2:$B999,"Felele",'FC inventory'!$C$2:$C999,"In")-sumifs('FC inventory'!AD2:AD999,'FC inventory'!$A$2:$A999,"&lt;"&amp;$A$1,'FC inventory'!$B$2:$B999,"Felele",'FC inventory'!$C$2:$C999,"Out")+SUMIFS('FC inventory'!AD2:AD999,'FC inventory'!$A$2:$A999,"&lt;"&amp;$A$1,'FC inventory'!$B$2:$B999,"Felele",'FC inventory'!$C$2:$C999,"Returned")</f>
        <v>0</v>
      </c>
      <c r="AC3" s="9">
        <f>sumifs('FC inventory'!AE2:AE999,'FC inventory'!$A$2:$A999,"&lt;"&amp;$A$1,'FC inventory'!$B$2:$B999,"Felele",'FC inventory'!$C$2:$C999,"In")-sumifs('FC inventory'!AE2:AE999,'FC inventory'!$A$2:$A999,"&lt;"&amp;$A$1,'FC inventory'!$B$2:$B999,"Felele",'FC inventory'!$C$2:$C999,"Out")+SUMIFS('FC inventory'!AE2:AE999,'FC inventory'!$A$2:$A999,"&lt;"&amp;$A$1,'FC inventory'!$B$2:$B999,"Felele",'FC inventory'!$C$2:$C999,"Returned")</f>
        <v>0</v>
      </c>
      <c r="AD3" s="9">
        <f>sumifs('FC inventory'!AF2:AF999,'FC inventory'!$A$2:$A999,"&lt;"&amp;$A$1,'FC inventory'!$B$2:$B999,"Felele",'FC inventory'!$C$2:$C999,"In")-sumifs('FC inventory'!AF2:AF999,'FC inventory'!$A$2:$A999,"&lt;"&amp;$A$1,'FC inventory'!$B$2:$B999,"Felele",'FC inventory'!$C$2:$C999,"Out")+SUMIFS('FC inventory'!AF2:AF999,'FC inventory'!$A$2:$A999,"&lt;"&amp;$A$1,'FC inventory'!$B$2:$B999,"Felele",'FC inventory'!$C$2:$C999,"Returned")</f>
        <v>0</v>
      </c>
      <c r="AE3" s="9">
        <f>sumifs('FC inventory'!AG2:AG999,'FC inventory'!$A$2:$A999,"&lt;"&amp;$A$1,'FC inventory'!$B$2:$B999,"Felele",'FC inventory'!$C$2:$C999,"In")-sumifs('FC inventory'!AG2:AG999,'FC inventory'!$A$2:$A999,"&lt;"&amp;$A$1,'FC inventory'!$B$2:$B999,"Felele",'FC inventory'!$C$2:$C999,"Out")+SUMIFS('FC inventory'!AG2:AG999,'FC inventory'!$A$2:$A999,"&lt;"&amp;$A$1,'FC inventory'!$B$2:$B999,"Felele",'FC inventory'!$C$2:$C999,"Returned")</f>
        <v>0</v>
      </c>
      <c r="AF3" s="9">
        <f>sumifs('FC inventory'!AH2:AH999,'FC inventory'!$A$2:$A999,"&lt;"&amp;$A$1,'FC inventory'!$B$2:$B999,"Felele",'FC inventory'!$C$2:$C999,"In")-sumifs('FC inventory'!AH2:AH999,'FC inventory'!$A$2:$A999,"&lt;"&amp;$A$1,'FC inventory'!$B$2:$B999,"Felele",'FC inventory'!$C$2:$C999,"Out")+SUMIFS('FC inventory'!AH2:AH999,'FC inventory'!$A$2:$A999,"&lt;"&amp;$A$1,'FC inventory'!$B$2:$B999,"Felele",'FC inventory'!$C$2:$C999,"Returned")</f>
        <v>0</v>
      </c>
    </row>
    <row r="4">
      <c r="A4" s="20" t="s">
        <v>35</v>
      </c>
      <c r="B4" s="21">
        <f>sumifs('FC inventory'!D2:D999,'FC inventory'!$A$2:$A999,$A$1,'FC inventory'!$B$2:$B999,"Felele",'FC inventory'!$C$2:$C999,"In")</f>
        <v>0</v>
      </c>
      <c r="C4" s="21">
        <f>sumifs('FC inventory'!E2:E999,'FC inventory'!$A$2:$A999,$A$1,'FC inventory'!$B$2:$B999,"Felele",'FC inventory'!$C$2:$C999,"In")</f>
        <v>0</v>
      </c>
      <c r="D4" s="21">
        <f>sumifs('FC inventory'!F2:F999,'FC inventory'!$A$2:$A999,$A$1,'FC inventory'!$B$2:$B999,"Felele",'FC inventory'!$C$2:$C999,"In")</f>
        <v>0</v>
      </c>
      <c r="E4" s="21">
        <f>sumifs('FC inventory'!G2:G999,'FC inventory'!$A$2:$A999,$A$1,'FC inventory'!$B$2:$B999,"Felele",'FC inventory'!$C$2:$C999,"In")</f>
        <v>0</v>
      </c>
      <c r="F4" s="21">
        <f>sumifs('FC inventory'!H2:H999,'FC inventory'!$A$2:$A999,$A$1,'FC inventory'!$B$2:$B999,"Felele",'FC inventory'!$C$2:$C999,"In")</f>
        <v>0</v>
      </c>
      <c r="G4" s="21">
        <f>sumifs('FC inventory'!I2:I999,'FC inventory'!$A$2:$A999,$A$1,'FC inventory'!$B$2:$B999,"Felele",'FC inventory'!$C$2:$C999,"In")</f>
        <v>0</v>
      </c>
      <c r="H4" s="21">
        <f>sumifs('FC inventory'!J2:J999,'FC inventory'!$A$2:$A999,$A$1,'FC inventory'!$B$2:$B999,"Felele",'FC inventory'!$C$2:$C999,"In")</f>
        <v>0</v>
      </c>
      <c r="I4" s="21">
        <f>sumifs('FC inventory'!K2:K999,'FC inventory'!$A$2:$A999,$A$1,'FC inventory'!$B$2:$B999,"Felele",'FC inventory'!$C$2:$C999,"In")</f>
        <v>0</v>
      </c>
      <c r="J4" s="21">
        <f>sumifs('FC inventory'!L2:L999,'FC inventory'!$A$2:$A999,$A$1,'FC inventory'!$B$2:$B999,"Felele",'FC inventory'!$C$2:$C999,"In")</f>
        <v>0</v>
      </c>
      <c r="K4" s="21">
        <f>sumifs('FC inventory'!M2:M999,'FC inventory'!$A$2:$A999,$A$1,'FC inventory'!$B$2:$B999,"Felele",'FC inventory'!$C$2:$C999,"In")</f>
        <v>0</v>
      </c>
      <c r="L4" s="21">
        <f>sumifs('FC inventory'!N2:N999,'FC inventory'!$A$2:$A999,$A$1,'FC inventory'!$B$2:$B999,"Felele",'FC inventory'!$C$2:$C999,"In")</f>
        <v>0</v>
      </c>
      <c r="M4" s="21">
        <f>sumifs('FC inventory'!O2:O999,'FC inventory'!$A$2:$A999,$A$1,'FC inventory'!$B$2:$B999,"Felele",'FC inventory'!$C$2:$C999,"In")</f>
        <v>0</v>
      </c>
      <c r="N4" s="21">
        <f>sumifs('FC inventory'!P2:P999,'FC inventory'!$A$2:$A999,$A$1,'FC inventory'!$B$2:$B999,"Felele",'FC inventory'!$C$2:$C999,"In")</f>
        <v>0</v>
      </c>
      <c r="O4" s="21">
        <f>sumifs('FC inventory'!Q2:Q999,'FC inventory'!$A$2:$A999,$A$1,'FC inventory'!$B$2:$B999,"Felele",'FC inventory'!$C$2:$C999,"In")</f>
        <v>0</v>
      </c>
      <c r="P4" s="21">
        <f>sumifs('FC inventory'!R2:R999,'FC inventory'!$A$2:$A999,$A$1,'FC inventory'!$B$2:$B999,"Felele",'FC inventory'!$C$2:$C999,"In")</f>
        <v>0</v>
      </c>
      <c r="Q4" s="21">
        <f>sumifs('FC inventory'!S2:S999,'FC inventory'!$A$2:$A999,$A$1,'FC inventory'!$B$2:$B999,"Felele",'FC inventory'!$C$2:$C999,"In")</f>
        <v>0</v>
      </c>
      <c r="R4" s="21">
        <f>sumifs('FC inventory'!T2:T999,'FC inventory'!$A$2:$A999,$A$1,'FC inventory'!$B$2:$B999,"Felele",'FC inventory'!$C$2:$C999,"In")</f>
        <v>0</v>
      </c>
      <c r="S4" s="21">
        <f>sumifs('FC inventory'!U2:U999,'FC inventory'!$A$2:$A999,$A$1,'FC inventory'!$B$2:$B999,"Felele",'FC inventory'!$C$2:$C999,"In")</f>
        <v>0</v>
      </c>
      <c r="T4" s="21">
        <f>sumifs('FC inventory'!V2:V999,'FC inventory'!$A$2:$A999,$A$1,'FC inventory'!$B$2:$B999,"Felele",'FC inventory'!$C$2:$C999,"In")</f>
        <v>0</v>
      </c>
      <c r="U4" s="21">
        <f>sumifs('FC inventory'!W2:W999,'FC inventory'!$A$2:$A999,$A$1,'FC inventory'!$B$2:$B999,"Felele",'FC inventory'!$C$2:$C999,"In")</f>
        <v>0</v>
      </c>
      <c r="V4" s="21">
        <f>sumifs('FC inventory'!X2:X999,'FC inventory'!$A$2:$A999,$A$1,'FC inventory'!$B$2:$B999,"Felele",'FC inventory'!$C$2:$C999,"In")</f>
        <v>0</v>
      </c>
      <c r="W4" s="21">
        <f>sumifs('FC inventory'!Y2:Y999,'FC inventory'!$A$2:$A999,$A$1,'FC inventory'!$B$2:$B999,"Felele",'FC inventory'!$C$2:$C999,"In")</f>
        <v>0</v>
      </c>
      <c r="X4" s="21">
        <f>sumifs('FC inventory'!Z2:Z999,'FC inventory'!$A$2:$A999,$A$1,'FC inventory'!$B$2:$B999,"Felele",'FC inventory'!$C$2:$C999,"In")</f>
        <v>0</v>
      </c>
      <c r="Y4" s="21">
        <f>sumifs('FC inventory'!AA2:AA999,'FC inventory'!$A$2:$A999,$A$1,'FC inventory'!$B$2:$B999,"Felele",'FC inventory'!$C$2:$C999,"In")</f>
        <v>0</v>
      </c>
      <c r="Z4" s="21">
        <f>sumifs('FC inventory'!AB2:AB999,'FC inventory'!$A$2:$A999,$A$1,'FC inventory'!$B$2:$B999,"Felele",'FC inventory'!$C$2:$C999,"In")</f>
        <v>0</v>
      </c>
      <c r="AA4" s="21">
        <f>sumifs('FC inventory'!AC2:AC999,'FC inventory'!$A$2:$A999,$A$1,'FC inventory'!$B$2:$B999,"Felele",'FC inventory'!$C$2:$C999,"In")</f>
        <v>0</v>
      </c>
      <c r="AB4" s="21">
        <f>sumifs('FC inventory'!AD2:AD999,'FC inventory'!$A$2:$A999,$A$1,'FC inventory'!$B$2:$B999,"Felele",'FC inventory'!$C$2:$C999,"In")</f>
        <v>0</v>
      </c>
      <c r="AC4" s="21">
        <f>sumifs('FC inventory'!AE2:AE999,'FC inventory'!$A$2:$A999,$A$1,'FC inventory'!$B$2:$B999,"Felele",'FC inventory'!$C$2:$C999,"In")</f>
        <v>0</v>
      </c>
      <c r="AD4" s="21">
        <f>sumifs('FC inventory'!AF2:AF999,'FC inventory'!$A$2:$A999,$A$1,'FC inventory'!$B$2:$B999,"Felele",'FC inventory'!$C$2:$C999,"In")</f>
        <v>0</v>
      </c>
      <c r="AE4" s="21">
        <f>sumifs('FC inventory'!AG2:AG999,'FC inventory'!$A$2:$A999,$A$1,'FC inventory'!$B$2:$B999,"Felele",'FC inventory'!$C$2:$C999,"In")</f>
        <v>0</v>
      </c>
      <c r="AF4" s="21">
        <f>sumifs('FC inventory'!AH2:AH999,'FC inventory'!$A$2:$A999,$A$1,'FC inventory'!$B$2:$B999,"Felele",'FC inventory'!$C$2:$C999,"In")</f>
        <v>0</v>
      </c>
    </row>
    <row r="5">
      <c r="A5" s="22" t="s">
        <v>38</v>
      </c>
      <c r="B5" s="21">
        <f>sumifs('FC inventory'!D2:D999,'FC inventory'!$A$2:$A999,$A$1,'FC inventory'!$B$2:$B999,"Felele",'FC inventory'!$C$2:$C999,"Out")</f>
        <v>0</v>
      </c>
      <c r="C5" s="21">
        <f>sumifs('FC inventory'!E2:E999,'FC inventory'!$A$2:$A999,$A$1,'FC inventory'!$B$2:$B999,"Felele",'FC inventory'!$C$2:$C999,"Out")</f>
        <v>0</v>
      </c>
      <c r="D5" s="21">
        <f>sumifs('FC inventory'!F2:F999,'FC inventory'!$A$2:$A999,$A$1,'FC inventory'!$B$2:$B999,"Felele",'FC inventory'!$C$2:$C999,"Out")</f>
        <v>0</v>
      </c>
      <c r="E5" s="21">
        <f>sumifs('FC inventory'!G2:G999,'FC inventory'!$A$2:$A999,$A$1,'FC inventory'!$B$2:$B999,"Felele",'FC inventory'!$C$2:$C999,"Out")</f>
        <v>0</v>
      </c>
      <c r="F5" s="21">
        <f>sumifs('FC inventory'!H2:H999,'FC inventory'!$A$2:$A999,$A$1,'FC inventory'!$B$2:$B999,"Felele",'FC inventory'!$C$2:$C999,"Out")</f>
        <v>0</v>
      </c>
      <c r="G5" s="21">
        <f>sumifs('FC inventory'!I2:I999,'FC inventory'!$A$2:$A999,$A$1,'FC inventory'!$B$2:$B999,"Felele",'FC inventory'!$C$2:$C999,"Out")</f>
        <v>0</v>
      </c>
      <c r="H5" s="21">
        <f>sumifs('FC inventory'!J2:J999,'FC inventory'!$A$2:$A999,$A$1,'FC inventory'!$B$2:$B999,"Felele",'FC inventory'!$C$2:$C999,"Out")</f>
        <v>0</v>
      </c>
      <c r="I5" s="21">
        <f>sumifs('FC inventory'!K2:K999,'FC inventory'!$A$2:$A999,$A$1,'FC inventory'!$B$2:$B999,"Felele",'FC inventory'!$C$2:$C999,"Out")</f>
        <v>0</v>
      </c>
      <c r="J5" s="21">
        <f>sumifs('FC inventory'!L2:L999,'FC inventory'!$A$2:$A999,$A$1,'FC inventory'!$B$2:$B999,"Felele",'FC inventory'!$C$2:$C999,"Out")</f>
        <v>0</v>
      </c>
      <c r="K5" s="21">
        <f>sumifs('FC inventory'!M2:M999,'FC inventory'!$A$2:$A999,$A$1,'FC inventory'!$B$2:$B999,"Felele",'FC inventory'!$C$2:$C999,"Out")</f>
        <v>0</v>
      </c>
      <c r="L5" s="21">
        <f>sumifs('FC inventory'!N2:N999,'FC inventory'!$A$2:$A999,$A$1,'FC inventory'!$B$2:$B999,"Felele",'FC inventory'!$C$2:$C999,"Out")</f>
        <v>0</v>
      </c>
      <c r="M5" s="21">
        <f>sumifs('FC inventory'!O2:O999,'FC inventory'!$A$2:$A999,$A$1,'FC inventory'!$B$2:$B999,"Felele",'FC inventory'!$C$2:$C999,"Out")</f>
        <v>0</v>
      </c>
      <c r="N5" s="21">
        <f>sumifs('FC inventory'!P2:P999,'FC inventory'!$A$2:$A999,$A$1,'FC inventory'!$B$2:$B999,"Felele",'FC inventory'!$C$2:$C999,"Out")</f>
        <v>0</v>
      </c>
      <c r="O5" s="21">
        <f>sumifs('FC inventory'!Q2:Q999,'FC inventory'!$A$2:$A999,$A$1,'FC inventory'!$B$2:$B999,"Felele",'FC inventory'!$C$2:$C999,"Out")</f>
        <v>0</v>
      </c>
      <c r="P5" s="21">
        <f>sumifs('FC inventory'!R2:R999,'FC inventory'!$A$2:$A999,$A$1,'FC inventory'!$B$2:$B999,"Felele",'FC inventory'!$C$2:$C999,"Out")</f>
        <v>0</v>
      </c>
      <c r="Q5" s="21">
        <f>sumifs('FC inventory'!S2:S999,'FC inventory'!$A$2:$A999,$A$1,'FC inventory'!$B$2:$B999,"Felele",'FC inventory'!$C$2:$C999,"Out")</f>
        <v>0</v>
      </c>
      <c r="R5" s="21">
        <f>sumifs('FC inventory'!T2:T999,'FC inventory'!$A$2:$A999,$A$1,'FC inventory'!$B$2:$B999,"Felele",'FC inventory'!$C$2:$C999,"Out")</f>
        <v>0</v>
      </c>
      <c r="S5" s="21">
        <f>sumifs('FC inventory'!U2:U999,'FC inventory'!$A$2:$A999,$A$1,'FC inventory'!$B$2:$B999,"Felele",'FC inventory'!$C$2:$C999,"Out")</f>
        <v>0</v>
      </c>
      <c r="T5" s="21">
        <f>sumifs('FC inventory'!V2:V999,'FC inventory'!$A$2:$A999,$A$1,'FC inventory'!$B$2:$B999,"Felele",'FC inventory'!$C$2:$C999,"Out")</f>
        <v>0</v>
      </c>
      <c r="U5" s="21">
        <f>sumifs('FC inventory'!W2:W999,'FC inventory'!$A$2:$A999,$A$1,'FC inventory'!$B$2:$B999,"Felele",'FC inventory'!$C$2:$C999,"Out")</f>
        <v>0</v>
      </c>
      <c r="V5" s="21">
        <f>sumifs('FC inventory'!X2:X999,'FC inventory'!$A$2:$A999,$A$1,'FC inventory'!$B$2:$B999,"Felele",'FC inventory'!$C$2:$C999,"Out")</f>
        <v>0</v>
      </c>
      <c r="W5" s="21">
        <f>sumifs('FC inventory'!Y2:Y999,'FC inventory'!$A$2:$A999,$A$1,'FC inventory'!$B$2:$B999,"Felele",'FC inventory'!$C$2:$C999,"Out")</f>
        <v>0</v>
      </c>
      <c r="X5" s="21">
        <f>sumifs('FC inventory'!Z2:Z999,'FC inventory'!$A$2:$A999,$A$1,'FC inventory'!$B$2:$B999,"Felele",'FC inventory'!$C$2:$C999,"Out")</f>
        <v>0</v>
      </c>
      <c r="Y5" s="21">
        <f>sumifs('FC inventory'!AA2:AA999,'FC inventory'!$A$2:$A999,$A$1,'FC inventory'!$B$2:$B999,"Felele",'FC inventory'!$C$2:$C999,"Out")</f>
        <v>0</v>
      </c>
      <c r="Z5" s="21">
        <f>sumifs('FC inventory'!AB2:AB999,'FC inventory'!$A$2:$A999,$A$1,'FC inventory'!$B$2:$B999,"Felele",'FC inventory'!$C$2:$C999,"Out")</f>
        <v>0</v>
      </c>
      <c r="AA5" s="21">
        <f>sumifs('FC inventory'!AC2:AC999,'FC inventory'!$A$2:$A999,$A$1,'FC inventory'!$B$2:$B999,"Felele",'FC inventory'!$C$2:$C999,"Out")</f>
        <v>0</v>
      </c>
      <c r="AB5" s="21">
        <f>sumifs('FC inventory'!AD2:AD999,'FC inventory'!$A$2:$A999,$A$1,'FC inventory'!$B$2:$B999,"Felele",'FC inventory'!$C$2:$C999,"Out")</f>
        <v>0</v>
      </c>
      <c r="AC5" s="21">
        <f>sumifs('FC inventory'!AE2:AE999,'FC inventory'!$A$2:$A999,$A$1,'FC inventory'!$B$2:$B999,"Felele",'FC inventory'!$C$2:$C999,"Out")</f>
        <v>0</v>
      </c>
      <c r="AD5" s="21">
        <f>sumifs('FC inventory'!AF2:AF999,'FC inventory'!$A$2:$A999,$A$1,'FC inventory'!$B$2:$B999,"Felele",'FC inventory'!$C$2:$C999,"Out")</f>
        <v>0</v>
      </c>
      <c r="AE5" s="21">
        <f>sumifs('FC inventory'!AG2:AG999,'FC inventory'!$A$2:$A999,$A$1,'FC inventory'!$B$2:$B999,"Felele",'FC inventory'!$C$2:$C999,"Out")</f>
        <v>0</v>
      </c>
      <c r="AF5" s="21">
        <f>sumifs('FC inventory'!AH2:AH999,'FC inventory'!$A$2:$A999,$A$1,'FC inventory'!$B$2:$B999,"Felele",'FC inventory'!$C$2:$C999,"Out")</f>
        <v>0</v>
      </c>
    </row>
    <row r="6">
      <c r="A6" s="20" t="s">
        <v>43</v>
      </c>
      <c r="B6" s="9">
        <f>SUMIFS('FC inventory'!D2:D999,'FC inventory'!$A$2:$A999,$A$1,'FC inventory'!$B$2:$B999,"Felele",'FC inventory'!$C$2:$C999,"Returned")</f>
        <v>0</v>
      </c>
      <c r="C6" s="9">
        <f>SUMIFS('FC inventory'!E2:E999,'FC inventory'!$A$2:$A999,$A$1,'FC inventory'!$B$2:$B999,"Felele",'FC inventory'!$C$2:$C999,"Returned")</f>
        <v>0</v>
      </c>
      <c r="D6" s="9">
        <f>SUMIFS('FC inventory'!F2:F999,'FC inventory'!$A$2:$A999,$A$1,'FC inventory'!$B$2:$B999,"Felele",'FC inventory'!$C$2:$C999,"Returned")</f>
        <v>0</v>
      </c>
      <c r="E6" s="9">
        <f>SUMIFS('FC inventory'!G2:G999,'FC inventory'!$A$2:$A999,$A$1,'FC inventory'!$B$2:$B999,"Felele",'FC inventory'!$C$2:$C999,"Returned")</f>
        <v>0</v>
      </c>
      <c r="F6" s="9">
        <f>SUMIFS('FC inventory'!H2:H999,'FC inventory'!$A$2:$A999,$A$1,'FC inventory'!$B$2:$B999,"Felele",'FC inventory'!$C$2:$C999,"Returned")</f>
        <v>0</v>
      </c>
      <c r="G6" s="9">
        <f>SUMIFS('FC inventory'!I2:I999,'FC inventory'!$A$2:$A999,$A$1,'FC inventory'!$B$2:$B999,"Felele",'FC inventory'!$C$2:$C999,"Returned")</f>
        <v>0</v>
      </c>
      <c r="H6" s="9">
        <f>SUMIFS('FC inventory'!J2:J999,'FC inventory'!$A$2:$A999,$A$1,'FC inventory'!$B$2:$B999,"Felele",'FC inventory'!$C$2:$C999,"Returned")</f>
        <v>0</v>
      </c>
      <c r="I6" s="9">
        <f>SUMIFS('FC inventory'!K2:K999,'FC inventory'!$A$2:$A999,$A$1,'FC inventory'!$B$2:$B999,"Felele",'FC inventory'!$C$2:$C999,"Returned")</f>
        <v>0</v>
      </c>
      <c r="J6" s="9">
        <f>SUMIFS('FC inventory'!L2:L999,'FC inventory'!$A$2:$A999,$A$1,'FC inventory'!$B$2:$B999,"Felele",'FC inventory'!$C$2:$C999,"Returned")</f>
        <v>0</v>
      </c>
      <c r="K6" s="9">
        <f>SUMIFS('FC inventory'!M2:M999,'FC inventory'!$A$2:$A999,$A$1,'FC inventory'!$B$2:$B999,"Felele",'FC inventory'!$C$2:$C999,"Returned")</f>
        <v>0</v>
      </c>
      <c r="L6" s="9">
        <f>SUMIFS('FC inventory'!N2:N999,'FC inventory'!$A$2:$A999,$A$1,'FC inventory'!$B$2:$B999,"Felele",'FC inventory'!$C$2:$C999,"Returned")</f>
        <v>0</v>
      </c>
      <c r="M6" s="9">
        <f>SUMIFS('FC inventory'!O2:O999,'FC inventory'!$A$2:$A999,$A$1,'FC inventory'!$B$2:$B999,"Felele",'FC inventory'!$C$2:$C999,"Returned")</f>
        <v>0</v>
      </c>
      <c r="N6" s="9">
        <f>SUMIFS('FC inventory'!P2:P999,'FC inventory'!$A$2:$A999,$A$1,'FC inventory'!$B$2:$B999,"Felele",'FC inventory'!$C$2:$C999,"Returned")</f>
        <v>0</v>
      </c>
      <c r="O6" s="9">
        <f>SUMIFS('FC inventory'!Q2:Q999,'FC inventory'!$A$2:$A999,$A$1,'FC inventory'!$B$2:$B999,"Felele",'FC inventory'!$C$2:$C999,"Returned")</f>
        <v>0</v>
      </c>
      <c r="P6" s="9">
        <f>SUMIFS('FC inventory'!R2:R999,'FC inventory'!$A$2:$A999,$A$1,'FC inventory'!$B$2:$B999,"Felele",'FC inventory'!$C$2:$C999,"Returned")</f>
        <v>0</v>
      </c>
      <c r="Q6" s="9">
        <f>SUMIFS('FC inventory'!S2:S999,'FC inventory'!$A$2:$A999,$A$1,'FC inventory'!$B$2:$B999,"Felele",'FC inventory'!$C$2:$C999,"Returned")</f>
        <v>0</v>
      </c>
      <c r="R6" s="9">
        <f>SUMIFS('FC inventory'!T2:T999,'FC inventory'!$A$2:$A999,$A$1,'FC inventory'!$B$2:$B999,"Felele",'FC inventory'!$C$2:$C999,"Returned")</f>
        <v>0</v>
      </c>
      <c r="S6" s="9">
        <f>SUMIFS('FC inventory'!U2:U999,'FC inventory'!$A$2:$A999,$A$1,'FC inventory'!$B$2:$B999,"Felele",'FC inventory'!$C$2:$C999,"Returned")</f>
        <v>0</v>
      </c>
      <c r="T6" s="9">
        <f>SUMIFS('FC inventory'!V2:V999,'FC inventory'!$A$2:$A999,$A$1,'FC inventory'!$B$2:$B999,"Felele",'FC inventory'!$C$2:$C999,"Returned")</f>
        <v>0</v>
      </c>
      <c r="U6" s="9">
        <f>SUMIFS('FC inventory'!W2:W999,'FC inventory'!$A$2:$A999,$A$1,'FC inventory'!$B$2:$B999,"Felele",'FC inventory'!$C$2:$C999,"Returned")</f>
        <v>0</v>
      </c>
      <c r="V6" s="9">
        <f>SUMIFS('FC inventory'!X2:X999,'FC inventory'!$A$2:$A999,$A$1,'FC inventory'!$B$2:$B999,"Felele",'FC inventory'!$C$2:$C999,"Returned")</f>
        <v>0</v>
      </c>
      <c r="W6" s="9">
        <f>SUMIFS('FC inventory'!Y2:Y999,'FC inventory'!$A$2:$A999,$A$1,'FC inventory'!$B$2:$B999,"Felele",'FC inventory'!$C$2:$C999,"Returned")</f>
        <v>0</v>
      </c>
      <c r="X6" s="9">
        <f>SUMIFS('FC inventory'!Z2:Z999,'FC inventory'!$A$2:$A999,$A$1,'FC inventory'!$B$2:$B999,"Felele",'FC inventory'!$C$2:$C999,"Returned")</f>
        <v>0</v>
      </c>
      <c r="Y6" s="9">
        <f>SUMIFS('FC inventory'!AA2:AA999,'FC inventory'!$A$2:$A999,$A$1,'FC inventory'!$B$2:$B999,"Felele",'FC inventory'!$C$2:$C999,"Returned")</f>
        <v>0</v>
      </c>
      <c r="Z6" s="9">
        <f>SUMIFS('FC inventory'!AB2:AB999,'FC inventory'!$A$2:$A999,$A$1,'FC inventory'!$B$2:$B999,"Felele",'FC inventory'!$C$2:$C999,"Returned")</f>
        <v>0</v>
      </c>
      <c r="AA6" s="9">
        <f>SUMIFS('FC inventory'!AC2:AC999,'FC inventory'!$A$2:$A999,$A$1,'FC inventory'!$B$2:$B999,"Felele",'FC inventory'!$C$2:$C999,"Returned")</f>
        <v>0</v>
      </c>
      <c r="AB6" s="9">
        <f>SUMIFS('FC inventory'!AD2:AD999,'FC inventory'!$A$2:$A999,$A$1,'FC inventory'!$B$2:$B999,"Felele",'FC inventory'!$C$2:$C999,"Returned")</f>
        <v>0</v>
      </c>
      <c r="AC6" s="9">
        <f>SUMIFS('FC inventory'!AE2:AE999,'FC inventory'!$A$2:$A999,$A$1,'FC inventory'!$B$2:$B999,"Felele",'FC inventory'!$C$2:$C999,"Returned")</f>
        <v>0</v>
      </c>
      <c r="AD6" s="9">
        <f>SUMIFS('FC inventory'!AF2:AF999,'FC inventory'!$A$2:$A999,$A$1,'FC inventory'!$B$2:$B999,"Felele",'FC inventory'!$C$2:$C999,"Returned")</f>
        <v>0</v>
      </c>
      <c r="AE6" s="9">
        <f>SUMIFS('FC inventory'!AG2:AG999,'FC inventory'!$A$2:$A999,$A$1,'FC inventory'!$B$2:$B999,"Felele",'FC inventory'!$C$2:$C999,"Returned")</f>
        <v>0</v>
      </c>
      <c r="AF6" s="9">
        <f>SUMIFS('FC inventory'!AH2:AH999,'FC inventory'!$A$2:$A999,$A$1,'FC inventory'!$B$2:$B999,"Felele",'FC inventory'!$C$2:$C999,"Returned")</f>
        <v>0</v>
      </c>
    </row>
    <row r="7">
      <c r="A7" s="23" t="s">
        <v>44</v>
      </c>
      <c r="B7" s="24">
        <f t="shared" ref="B7:AF7" si="1">B3+B4-B5+B6</f>
        <v>0</v>
      </c>
      <c r="C7" s="24">
        <f t="shared" si="1"/>
        <v>0</v>
      </c>
      <c r="D7" s="24">
        <f t="shared" si="1"/>
        <v>0</v>
      </c>
      <c r="E7" s="24">
        <f t="shared" si="1"/>
        <v>0</v>
      </c>
      <c r="F7" s="24">
        <f t="shared" si="1"/>
        <v>0</v>
      </c>
      <c r="G7" s="24">
        <f t="shared" si="1"/>
        <v>26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8</v>
      </c>
      <c r="P7" s="24">
        <f t="shared" si="1"/>
        <v>8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20</v>
      </c>
      <c r="V7" s="24">
        <f t="shared" si="1"/>
        <v>0</v>
      </c>
      <c r="W7" s="24">
        <f t="shared" si="1"/>
        <v>0</v>
      </c>
      <c r="X7" s="24">
        <f t="shared" si="1"/>
        <v>0</v>
      </c>
      <c r="Y7" s="24">
        <f t="shared" si="1"/>
        <v>0</v>
      </c>
      <c r="Z7" s="24">
        <f t="shared" si="1"/>
        <v>1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24">
        <f t="shared" si="1"/>
        <v>0</v>
      </c>
      <c r="AE7" s="24">
        <f t="shared" si="1"/>
        <v>0</v>
      </c>
      <c r="AF7" s="24">
        <f t="shared" si="1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</cols>
  <sheetData>
    <row r="1">
      <c r="A1" s="25" t="s">
        <v>46</v>
      </c>
      <c r="B1" s="26" t="s">
        <v>3</v>
      </c>
      <c r="C1" s="26" t="s">
        <v>4</v>
      </c>
      <c r="D1" s="27" t="s">
        <v>5</v>
      </c>
      <c r="E1" s="27" t="s">
        <v>6</v>
      </c>
      <c r="F1" s="27" t="s">
        <v>7</v>
      </c>
      <c r="G1" s="26" t="s">
        <v>8</v>
      </c>
      <c r="H1" s="26" t="s">
        <v>9</v>
      </c>
      <c r="I1" s="26" t="s">
        <v>10</v>
      </c>
      <c r="J1" s="26" t="s">
        <v>11</v>
      </c>
      <c r="K1" s="26" t="s">
        <v>12</v>
      </c>
      <c r="L1" s="26" t="s">
        <v>13</v>
      </c>
      <c r="M1" s="26" t="s">
        <v>14</v>
      </c>
      <c r="N1" s="26" t="s">
        <v>15</v>
      </c>
      <c r="O1" s="26" t="s">
        <v>16</v>
      </c>
      <c r="P1" s="26" t="s">
        <v>17</v>
      </c>
      <c r="Q1" s="26" t="s">
        <v>18</v>
      </c>
      <c r="R1" s="26" t="s">
        <v>19</v>
      </c>
      <c r="S1" s="26" t="s">
        <v>20</v>
      </c>
      <c r="T1" s="26" t="s">
        <v>21</v>
      </c>
      <c r="U1" s="27" t="s">
        <v>22</v>
      </c>
      <c r="V1" s="26" t="s">
        <v>23</v>
      </c>
      <c r="W1" s="26" t="s">
        <v>24</v>
      </c>
      <c r="X1" s="26" t="s">
        <v>25</v>
      </c>
      <c r="Y1" s="26" t="s">
        <v>26</v>
      </c>
      <c r="Z1" s="26" t="s">
        <v>27</v>
      </c>
      <c r="AA1" s="26" t="s">
        <v>28</v>
      </c>
      <c r="AB1" s="26" t="s">
        <v>29</v>
      </c>
      <c r="AC1" s="26" t="s">
        <v>30</v>
      </c>
      <c r="AD1" s="5" t="s">
        <v>31</v>
      </c>
      <c r="AE1" s="5" t="s">
        <v>32</v>
      </c>
      <c r="AF1" s="5" t="s">
        <v>33</v>
      </c>
    </row>
    <row r="2">
      <c r="A2" s="28" t="s">
        <v>36</v>
      </c>
      <c r="B2" s="29">
        <f>(SUMIFS('FC inventory'!D$2:D1000,'FC inventory'!$C$2:$C1000,"In",'FC inventory'!$B$2:$B1000,$A2,'FC inventory'!$A$2:$A1000,"&lt;"&amp;Today())-SUMIFS('FC inventory'!D$2:D1000,'FC inventory'!$C$2:$C1000,"Out",'FC inventory'!$B$2:$B1000,$A2,'FC inventory'!$A$2:$A1000,"&lt;"&amp;Today())+SUMIFS('FC inventory'!D$2:D1000,'FC inventory'!$C$2:$C1000,"Return",'FC inventory'!$B$2:$B1000,$A2,'FC inventory'!$A$2:$A1000,"&lt;"&amp;Today())-SUMIFS('FC inventory'!D$2:D1000,'FC inventory'!$C$2:$C1000,"Spoilage",'FC inventory'!$B$2:$B1000,$A2,'FC inventory'!$A$2:$A1000,"&lt;"&amp;today()))+ (SUMIFS('FC inventory'!D$2:D1000,'FC inventory'!$C$2:$C1000,"In",'FC inventory'!$B$2:$B1000,$A2,'FC inventory'!$A$2:$A1000,Today()))-(SUMIFS('FC inventory'!D$2:D1000,'FC inventory'!$C$2:$C1000,"Out",'FC inventory'!$B$2:$B1000,$A2,'FC inventory'!$A$2:$A1000,Today()) - (SUMIFS('FC inventory'!D$2:D1000,'FC inventory'!$C$2:$C1000,"Retuned",'FC inventory'!$B$2:$B1000,$A2,'FC inventory'!$A$2:$A1000,Today()) - (SUMIFS('FC inventory'!D$2:D1000,'FC inventory'!$C$2:$C1000,"Spoilage",'FC inventory'!$B$2:$B1000,$A2,'FC inventory'!$A$2:$A1000,Today()))))</f>
        <v>0</v>
      </c>
      <c r="C2" s="29">
        <f>(SUMIFS('FC inventory'!E$2:E1000,'FC inventory'!$C$2:$C1000,"In",'FC inventory'!$B$2:$B1000,$A2,'FC inventory'!$A$2:$A1000,"&lt;"&amp;Today())-SUMIFS('FC inventory'!E$2:E1000,'FC inventory'!$C$2:$C1000,"Out",'FC inventory'!$B$2:$B1000,$A2,'FC inventory'!$A$2:$A1000,"&lt;"&amp;Today())+SUMIFS('FC inventory'!E$2:E1000,'FC inventory'!$C$2:$C1000,"Return",'FC inventory'!$B$2:$B1000,$A2,'FC inventory'!$A$2:$A1000,"&lt;"&amp;Today())-SUMIFS('FC inventory'!E$2:E1000,'FC inventory'!$C$2:$C1000,"Spoilage",'FC inventory'!$B$2:$B1000,$A2,'FC inventory'!$A$2:$A1000,"&lt;"&amp;today()))+ (SUMIFS('FC inventory'!E$2:E1000,'FC inventory'!$C$2:$C1000,"In",'FC inventory'!$B$2:$B1000,$A2,'FC inventory'!$A$2:$A1000,Today()))-(SUMIFS('FC inventory'!E$2:E1000,'FC inventory'!$C$2:$C1000,"Out",'FC inventory'!$B$2:$B1000,$A2,'FC inventory'!$A$2:$A1000,Today()) - (SUMIFS('FC inventory'!E$2:E1000,'FC inventory'!$C$2:$C1000,"Retuned",'FC inventory'!$B$2:$B1000,$A2,'FC inventory'!$A$2:$A1000,Today()) - (SUMIFS('FC inventory'!E$2:E1000,'FC inventory'!$C$2:$C1000,"Spoilage",'FC inventory'!$B$2:$B1000,$A2,'FC inventory'!$A$2:$A1000,Today()))))</f>
        <v>0</v>
      </c>
      <c r="D2" s="29">
        <f>(SUMIFS('FC inventory'!F$2:F1000,'FC inventory'!$C$2:$C1000,"In",'FC inventory'!$B$2:$B1000,$A2,'FC inventory'!$A$2:$A1000,"&lt;"&amp;Today())-SUMIFS('FC inventory'!F$2:F1000,'FC inventory'!$C$2:$C1000,"Out",'FC inventory'!$B$2:$B1000,$A2,'FC inventory'!$A$2:$A1000,"&lt;"&amp;Today())+SUMIFS('FC inventory'!F$2:F1000,'FC inventory'!$C$2:$C1000,"Return",'FC inventory'!$B$2:$B1000,$A2,'FC inventory'!$A$2:$A1000,"&lt;"&amp;Today())-SUMIFS('FC inventory'!F$2:F1000,'FC inventory'!$C$2:$C1000,"Spoilage",'FC inventory'!$B$2:$B1000,$A2,'FC inventory'!$A$2:$A1000,"&lt;"&amp;today()))+ (SUMIFS('FC inventory'!F$2:F1000,'FC inventory'!$C$2:$C1000,"In",'FC inventory'!$B$2:$B1000,$A2,'FC inventory'!$A$2:$A1000,Today()))-(SUMIFS('FC inventory'!F$2:F1000,'FC inventory'!$C$2:$C1000,"Out",'FC inventory'!$B$2:$B1000,$A2,'FC inventory'!$A$2:$A1000,Today()) - (SUMIFS('FC inventory'!F$2:F1000,'FC inventory'!$C$2:$C1000,"Retuned",'FC inventory'!$B$2:$B1000,$A2,'FC inventory'!$A$2:$A1000,Today()) - (SUMIFS('FC inventory'!F$2:F1000,'FC inventory'!$C$2:$C1000,"Spoilage",'FC inventory'!$B$2:$B1000,$A2,'FC inventory'!$A$2:$A1000,Today()))))</f>
        <v>1</v>
      </c>
      <c r="E2" s="29">
        <f>(SUMIFS('FC inventory'!G$2:G1000,'FC inventory'!$C$2:$C1000,"In",'FC inventory'!$B$2:$B1000,$A2,'FC inventory'!$A$2:$A1000,"&lt;"&amp;Today())-SUMIFS('FC inventory'!G$2:G1000,'FC inventory'!$C$2:$C1000,"Out",'FC inventory'!$B$2:$B1000,$A2,'FC inventory'!$A$2:$A1000,"&lt;"&amp;Today())+SUMIFS('FC inventory'!G$2:G1000,'FC inventory'!$C$2:$C1000,"Return",'FC inventory'!$B$2:$B1000,$A2,'FC inventory'!$A$2:$A1000,"&lt;"&amp;Today())-SUMIFS('FC inventory'!G$2:G1000,'FC inventory'!$C$2:$C1000,"Spoilage",'FC inventory'!$B$2:$B1000,$A2,'FC inventory'!$A$2:$A1000,"&lt;"&amp;today()))+ (SUMIFS('FC inventory'!G$2:G1000,'FC inventory'!$C$2:$C1000,"In",'FC inventory'!$B$2:$B1000,$A2,'FC inventory'!$A$2:$A1000,Today()))-(SUMIFS('FC inventory'!G$2:G1000,'FC inventory'!$C$2:$C1000,"Out",'FC inventory'!$B$2:$B1000,$A2,'FC inventory'!$A$2:$A1000,Today()) - (SUMIFS('FC inventory'!G$2:G1000,'FC inventory'!$C$2:$C1000,"Retuned",'FC inventory'!$B$2:$B1000,$A2,'FC inventory'!$A$2:$A1000,Today()) - (SUMIFS('FC inventory'!G$2:G1000,'FC inventory'!$C$2:$C1000,"Spoilage",'FC inventory'!$B$2:$B1000,$A2,'FC inventory'!$A$2:$A1000,Today()))))</f>
        <v>0</v>
      </c>
      <c r="F2" s="29">
        <f>(SUMIFS('FC inventory'!H$2:H1000,'FC inventory'!$C$2:$C1000,"In",'FC inventory'!$B$2:$B1000,$A2,'FC inventory'!$A$2:$A1000,"&lt;"&amp;Today())-SUMIFS('FC inventory'!H$2:H1000,'FC inventory'!$C$2:$C1000,"Out",'FC inventory'!$B$2:$B1000,$A2,'FC inventory'!$A$2:$A1000,"&lt;"&amp;Today())+SUMIFS('FC inventory'!H$2:H1000,'FC inventory'!$C$2:$C1000,"Return",'FC inventory'!$B$2:$B1000,$A2,'FC inventory'!$A$2:$A1000,"&lt;"&amp;Today())-SUMIFS('FC inventory'!H$2:H1000,'FC inventory'!$C$2:$C1000,"Spoilage",'FC inventory'!$B$2:$B1000,$A2,'FC inventory'!$A$2:$A1000,"&lt;"&amp;today()))+ (SUMIFS('FC inventory'!H$2:H1000,'FC inventory'!$C$2:$C1000,"In",'FC inventory'!$B$2:$B1000,$A2,'FC inventory'!$A$2:$A1000,Today()))-(SUMIFS('FC inventory'!H$2:H1000,'FC inventory'!$C$2:$C1000,"Out",'FC inventory'!$B$2:$B1000,$A2,'FC inventory'!$A$2:$A1000,Today()) - (SUMIFS('FC inventory'!H$2:H1000,'FC inventory'!$C$2:$C1000,"Retuned",'FC inventory'!$B$2:$B1000,$A2,'FC inventory'!$A$2:$A1000,Today()) - (SUMIFS('FC inventory'!H$2:H1000,'FC inventory'!$C$2:$C1000,"Spoilage",'FC inventory'!$B$2:$B1000,$A2,'FC inventory'!$A$2:$A1000,Today()))))</f>
        <v>0</v>
      </c>
      <c r="G2" s="29">
        <f>(SUMIFS('FC inventory'!I$2:I1000,'FC inventory'!$C$2:$C1000,"In",'FC inventory'!$B$2:$B1000,$A2,'FC inventory'!$A$2:$A1000,"&lt;"&amp;Today())-SUMIFS('FC inventory'!I$2:I1000,'FC inventory'!$C$2:$C1000,"Out",'FC inventory'!$B$2:$B1000,$A2,'FC inventory'!$A$2:$A1000,"&lt;"&amp;Today())+SUMIFS('FC inventory'!I$2:I1000,'FC inventory'!$C$2:$C1000,"Return",'FC inventory'!$B$2:$B1000,$A2,'FC inventory'!$A$2:$A1000,"&lt;"&amp;Today())-SUMIFS('FC inventory'!I$2:I1000,'FC inventory'!$C$2:$C1000,"Spoilage",'FC inventory'!$B$2:$B1000,$A2,'FC inventory'!$A$2:$A1000,"&lt;"&amp;today()))+ (SUMIFS('FC inventory'!I$2:I1000,'FC inventory'!$C$2:$C1000,"In",'FC inventory'!$B$2:$B1000,$A2,'FC inventory'!$A$2:$A1000,Today()))-(SUMIFS('FC inventory'!I$2:I1000,'FC inventory'!$C$2:$C1000,"Out",'FC inventory'!$B$2:$B1000,$A2,'FC inventory'!$A$2:$A1000,Today()) - (SUMIFS('FC inventory'!I$2:I1000,'FC inventory'!$C$2:$C1000,"Retuned",'FC inventory'!$B$2:$B1000,$A2,'FC inventory'!$A$2:$A1000,Today()) - (SUMIFS('FC inventory'!I$2:I1000,'FC inventory'!$C$2:$C1000,"Spoilage",'FC inventory'!$B$2:$B1000,$A2,'FC inventory'!$A$2:$A1000,Today()))))</f>
        <v>42</v>
      </c>
      <c r="H2" s="29">
        <f>(SUMIFS('FC inventory'!J$2:J1000,'FC inventory'!$C$2:$C1000,"In",'FC inventory'!$B$2:$B1000,$A2,'FC inventory'!$A$2:$A1000,"&lt;"&amp;Today())-SUMIFS('FC inventory'!J$2:J1000,'FC inventory'!$C$2:$C1000,"Out",'FC inventory'!$B$2:$B1000,$A2,'FC inventory'!$A$2:$A1000,"&lt;"&amp;Today())+SUMIFS('FC inventory'!J$2:J1000,'FC inventory'!$C$2:$C1000,"Return",'FC inventory'!$B$2:$B1000,$A2,'FC inventory'!$A$2:$A1000,"&lt;"&amp;Today())-SUMIFS('FC inventory'!J$2:J1000,'FC inventory'!$C$2:$C1000,"Spoilage",'FC inventory'!$B$2:$B1000,$A2,'FC inventory'!$A$2:$A1000,"&lt;"&amp;today()))+ (SUMIFS('FC inventory'!J$2:J1000,'FC inventory'!$C$2:$C1000,"In",'FC inventory'!$B$2:$B1000,$A2,'FC inventory'!$A$2:$A1000,Today()))-(SUMIFS('FC inventory'!J$2:J1000,'FC inventory'!$C$2:$C1000,"Out",'FC inventory'!$B$2:$B1000,$A2,'FC inventory'!$A$2:$A1000,Today()) - (SUMIFS('FC inventory'!J$2:J1000,'FC inventory'!$C$2:$C1000,"Retuned",'FC inventory'!$B$2:$B1000,$A2,'FC inventory'!$A$2:$A1000,Today()) - (SUMIFS('FC inventory'!J$2:J1000,'FC inventory'!$C$2:$C1000,"Spoilage",'FC inventory'!$B$2:$B1000,$A2,'FC inventory'!$A$2:$A1000,Today()))))</f>
        <v>0</v>
      </c>
      <c r="I2" s="29">
        <f>(SUMIFS('FC inventory'!K$2:K1000,'FC inventory'!$C$2:$C1000,"In",'FC inventory'!$B$2:$B1000,$A2,'FC inventory'!$A$2:$A1000,"&lt;"&amp;Today())-SUMIFS('FC inventory'!K$2:K1000,'FC inventory'!$C$2:$C1000,"Out",'FC inventory'!$B$2:$B1000,$A2,'FC inventory'!$A$2:$A1000,"&lt;"&amp;Today())+SUMIFS('FC inventory'!K$2:K1000,'FC inventory'!$C$2:$C1000,"Return",'FC inventory'!$B$2:$B1000,$A2,'FC inventory'!$A$2:$A1000,"&lt;"&amp;Today())-SUMIFS('FC inventory'!K$2:K1000,'FC inventory'!$C$2:$C1000,"Spoilage",'FC inventory'!$B$2:$B1000,$A2,'FC inventory'!$A$2:$A1000,"&lt;"&amp;today()))+ (SUMIFS('FC inventory'!K$2:K1000,'FC inventory'!$C$2:$C1000,"In",'FC inventory'!$B$2:$B1000,$A2,'FC inventory'!$A$2:$A1000,Today()))-(SUMIFS('FC inventory'!K$2:K1000,'FC inventory'!$C$2:$C1000,"Out",'FC inventory'!$B$2:$B1000,$A2,'FC inventory'!$A$2:$A1000,Today()) - (SUMIFS('FC inventory'!K$2:K1000,'FC inventory'!$C$2:$C1000,"Retuned",'FC inventory'!$B$2:$B1000,$A2,'FC inventory'!$A$2:$A1000,Today()) - (SUMIFS('FC inventory'!K$2:K1000,'FC inventory'!$C$2:$C1000,"Spoilage",'FC inventory'!$B$2:$B1000,$A2,'FC inventory'!$A$2:$A1000,Today()))))</f>
        <v>0</v>
      </c>
      <c r="J2" s="29">
        <f>(SUMIFS('FC inventory'!L$2:L1000,'FC inventory'!$C$2:$C1000,"In",'FC inventory'!$B$2:$B1000,$A2,'FC inventory'!$A$2:$A1000,"&lt;"&amp;Today())-SUMIFS('FC inventory'!L$2:L1000,'FC inventory'!$C$2:$C1000,"Out",'FC inventory'!$B$2:$B1000,$A2,'FC inventory'!$A$2:$A1000,"&lt;"&amp;Today())+SUMIFS('FC inventory'!L$2:L1000,'FC inventory'!$C$2:$C1000,"Return",'FC inventory'!$B$2:$B1000,$A2,'FC inventory'!$A$2:$A1000,"&lt;"&amp;Today())-SUMIFS('FC inventory'!L$2:L1000,'FC inventory'!$C$2:$C1000,"Spoilage",'FC inventory'!$B$2:$B1000,$A2,'FC inventory'!$A$2:$A1000,"&lt;"&amp;today()))+ (SUMIFS('FC inventory'!L$2:L1000,'FC inventory'!$C$2:$C1000,"In",'FC inventory'!$B$2:$B1000,$A2,'FC inventory'!$A$2:$A1000,Today()))-(SUMIFS('FC inventory'!L$2:L1000,'FC inventory'!$C$2:$C1000,"Out",'FC inventory'!$B$2:$B1000,$A2,'FC inventory'!$A$2:$A1000,Today()) - (SUMIFS('FC inventory'!L$2:L1000,'FC inventory'!$C$2:$C1000,"Retuned",'FC inventory'!$B$2:$B1000,$A2,'FC inventory'!$A$2:$A1000,Today()) - (SUMIFS('FC inventory'!L$2:L1000,'FC inventory'!$C$2:$C1000,"Spoilage",'FC inventory'!$B$2:$B1000,$A2,'FC inventory'!$A$2:$A1000,Today()))))</f>
        <v>0</v>
      </c>
      <c r="K2" s="29">
        <f>(SUMIFS('FC inventory'!M$2:M1000,'FC inventory'!$C$2:$C1000,"In",'FC inventory'!$B$2:$B1000,$A2,'FC inventory'!$A$2:$A1000,"&lt;"&amp;Today())-SUMIFS('FC inventory'!M$2:M1000,'FC inventory'!$C$2:$C1000,"Out",'FC inventory'!$B$2:$B1000,$A2,'FC inventory'!$A$2:$A1000,"&lt;"&amp;Today())+SUMIFS('FC inventory'!M$2:M1000,'FC inventory'!$C$2:$C1000,"Return",'FC inventory'!$B$2:$B1000,$A2,'FC inventory'!$A$2:$A1000,"&lt;"&amp;Today())-SUMIFS('FC inventory'!M$2:M1000,'FC inventory'!$C$2:$C1000,"Spoilage",'FC inventory'!$B$2:$B1000,$A2,'FC inventory'!$A$2:$A1000,"&lt;"&amp;today()))+ (SUMIFS('FC inventory'!M$2:M1000,'FC inventory'!$C$2:$C1000,"In",'FC inventory'!$B$2:$B1000,$A2,'FC inventory'!$A$2:$A1000,Today()))-(SUMIFS('FC inventory'!M$2:M1000,'FC inventory'!$C$2:$C1000,"Out",'FC inventory'!$B$2:$B1000,$A2,'FC inventory'!$A$2:$A1000,Today()) - (SUMIFS('FC inventory'!M$2:M1000,'FC inventory'!$C$2:$C1000,"Retuned",'FC inventory'!$B$2:$B1000,$A2,'FC inventory'!$A$2:$A1000,Today()) - (SUMIFS('FC inventory'!M$2:M1000,'FC inventory'!$C$2:$C1000,"Spoilage",'FC inventory'!$B$2:$B1000,$A2,'FC inventory'!$A$2:$A1000,Today()))))</f>
        <v>0</v>
      </c>
      <c r="L2" s="29">
        <f>(SUMIFS('FC inventory'!N$2:N1000,'FC inventory'!$C$2:$C1000,"In",'FC inventory'!$B$2:$B1000,$A2,'FC inventory'!$A$2:$A1000,"&lt;"&amp;Today())-SUMIFS('FC inventory'!N$2:N1000,'FC inventory'!$C$2:$C1000,"Out",'FC inventory'!$B$2:$B1000,$A2,'FC inventory'!$A$2:$A1000,"&lt;"&amp;Today())+SUMIFS('FC inventory'!N$2:N1000,'FC inventory'!$C$2:$C1000,"Return",'FC inventory'!$B$2:$B1000,$A2,'FC inventory'!$A$2:$A1000,"&lt;"&amp;Today())-SUMIFS('FC inventory'!N$2:N1000,'FC inventory'!$C$2:$C1000,"Spoilage",'FC inventory'!$B$2:$B1000,$A2,'FC inventory'!$A$2:$A1000,"&lt;"&amp;today()))+ (SUMIFS('FC inventory'!N$2:N1000,'FC inventory'!$C$2:$C1000,"In",'FC inventory'!$B$2:$B1000,$A2,'FC inventory'!$A$2:$A1000,Today()))-(SUMIFS('FC inventory'!N$2:N1000,'FC inventory'!$C$2:$C1000,"Out",'FC inventory'!$B$2:$B1000,$A2,'FC inventory'!$A$2:$A1000,Today()) - (SUMIFS('FC inventory'!N$2:N1000,'FC inventory'!$C$2:$C1000,"Retuned",'FC inventory'!$B$2:$B1000,$A2,'FC inventory'!$A$2:$A1000,Today()) - (SUMIFS('FC inventory'!N$2:N1000,'FC inventory'!$C$2:$C1000,"Spoilage",'FC inventory'!$B$2:$B1000,$A2,'FC inventory'!$A$2:$A1000,Today()))))</f>
        <v>0</v>
      </c>
      <c r="M2" s="29">
        <f>(SUMIFS('FC inventory'!O$2:O1000,'FC inventory'!$C$2:$C1000,"In",'FC inventory'!$B$2:$B1000,$A2,'FC inventory'!$A$2:$A1000,"&lt;"&amp;Today())-SUMIFS('FC inventory'!O$2:O1000,'FC inventory'!$C$2:$C1000,"Out",'FC inventory'!$B$2:$B1000,$A2,'FC inventory'!$A$2:$A1000,"&lt;"&amp;Today())+SUMIFS('FC inventory'!O$2:O1000,'FC inventory'!$C$2:$C1000,"Return",'FC inventory'!$B$2:$B1000,$A2,'FC inventory'!$A$2:$A1000,"&lt;"&amp;Today())-SUMIFS('FC inventory'!O$2:O1000,'FC inventory'!$C$2:$C1000,"Spoilage",'FC inventory'!$B$2:$B1000,$A2,'FC inventory'!$A$2:$A1000,"&lt;"&amp;today()))+ (SUMIFS('FC inventory'!O$2:O1000,'FC inventory'!$C$2:$C1000,"In",'FC inventory'!$B$2:$B1000,$A2,'FC inventory'!$A$2:$A1000,Today()))-(SUMIFS('FC inventory'!O$2:O1000,'FC inventory'!$C$2:$C1000,"Out",'FC inventory'!$B$2:$B1000,$A2,'FC inventory'!$A$2:$A1000,Today()) - (SUMIFS('FC inventory'!O$2:O1000,'FC inventory'!$C$2:$C1000,"Retuned",'FC inventory'!$B$2:$B1000,$A2,'FC inventory'!$A$2:$A1000,Today()) - (SUMIFS('FC inventory'!O$2:O1000,'FC inventory'!$C$2:$C1000,"Spoilage",'FC inventory'!$B$2:$B1000,$A2,'FC inventory'!$A$2:$A1000,Today()))))</f>
        <v>0</v>
      </c>
      <c r="N2" s="29">
        <f>(SUMIFS('FC inventory'!P$2:P1000,'FC inventory'!$C$2:$C1000,"In",'FC inventory'!$B$2:$B1000,$A2,'FC inventory'!$A$2:$A1000,"&lt;"&amp;Today())-SUMIFS('FC inventory'!P$2:P1000,'FC inventory'!$C$2:$C1000,"Out",'FC inventory'!$B$2:$B1000,$A2,'FC inventory'!$A$2:$A1000,"&lt;"&amp;Today())+SUMIFS('FC inventory'!P$2:P1000,'FC inventory'!$C$2:$C1000,"Return",'FC inventory'!$B$2:$B1000,$A2,'FC inventory'!$A$2:$A1000,"&lt;"&amp;Today())-SUMIFS('FC inventory'!P$2:P1000,'FC inventory'!$C$2:$C1000,"Spoilage",'FC inventory'!$B$2:$B1000,$A2,'FC inventory'!$A$2:$A1000,"&lt;"&amp;today()))+ (SUMIFS('FC inventory'!P$2:P1000,'FC inventory'!$C$2:$C1000,"In",'FC inventory'!$B$2:$B1000,$A2,'FC inventory'!$A$2:$A1000,Today()))-(SUMIFS('FC inventory'!P$2:P1000,'FC inventory'!$C$2:$C1000,"Out",'FC inventory'!$B$2:$B1000,$A2,'FC inventory'!$A$2:$A1000,Today()) - (SUMIFS('FC inventory'!P$2:P1000,'FC inventory'!$C$2:$C1000,"Retuned",'FC inventory'!$B$2:$B1000,$A2,'FC inventory'!$A$2:$A1000,Today()) - (SUMIFS('FC inventory'!P$2:P1000,'FC inventory'!$C$2:$C1000,"Spoilage",'FC inventory'!$B$2:$B1000,$A2,'FC inventory'!$A$2:$A1000,Today()))))</f>
        <v>0</v>
      </c>
      <c r="O2" s="29">
        <f>(SUMIFS('FC inventory'!Q$2:Q1000,'FC inventory'!$C$2:$C1000,"In",'FC inventory'!$B$2:$B1000,$A2,'FC inventory'!$A$2:$A1000,"&lt;"&amp;Today())-SUMIFS('FC inventory'!Q$2:Q1000,'FC inventory'!$C$2:$C1000,"Out",'FC inventory'!$B$2:$B1000,$A2,'FC inventory'!$A$2:$A1000,"&lt;"&amp;Today())+SUMIFS('FC inventory'!Q$2:Q1000,'FC inventory'!$C$2:$C1000,"Return",'FC inventory'!$B$2:$B1000,$A2,'FC inventory'!$A$2:$A1000,"&lt;"&amp;Today())-SUMIFS('FC inventory'!Q$2:Q1000,'FC inventory'!$C$2:$C1000,"Spoilage",'FC inventory'!$B$2:$B1000,$A2,'FC inventory'!$A$2:$A1000,"&lt;"&amp;today()))+ (SUMIFS('FC inventory'!Q$2:Q1000,'FC inventory'!$C$2:$C1000,"In",'FC inventory'!$B$2:$B1000,$A2,'FC inventory'!$A$2:$A1000,Today()))-(SUMIFS('FC inventory'!Q$2:Q1000,'FC inventory'!$C$2:$C1000,"Out",'FC inventory'!$B$2:$B1000,$A2,'FC inventory'!$A$2:$A1000,Today()) - (SUMIFS('FC inventory'!Q$2:Q1000,'FC inventory'!$C$2:$C1000,"Retuned",'FC inventory'!$B$2:$B1000,$A2,'FC inventory'!$A$2:$A1000,Today()) - (SUMIFS('FC inventory'!Q$2:Q1000,'FC inventory'!$C$2:$C1000,"Spoilage",'FC inventory'!$B$2:$B1000,$A2,'FC inventory'!$A$2:$A1000,Today()))))</f>
        <v>9</v>
      </c>
      <c r="P2" s="29">
        <f>(SUMIFS('FC inventory'!R$2:R1000,'FC inventory'!$C$2:$C1000,"In",'FC inventory'!$B$2:$B1000,$A2,'FC inventory'!$A$2:$A1000,"&lt;"&amp;Today())-SUMIFS('FC inventory'!R$2:R1000,'FC inventory'!$C$2:$C1000,"Out",'FC inventory'!$B$2:$B1000,$A2,'FC inventory'!$A$2:$A1000,"&lt;"&amp;Today())+SUMIFS('FC inventory'!R$2:R1000,'FC inventory'!$C$2:$C1000,"Return",'FC inventory'!$B$2:$B1000,$A2,'FC inventory'!$A$2:$A1000,"&lt;"&amp;Today())-SUMIFS('FC inventory'!R$2:R1000,'FC inventory'!$C$2:$C1000,"Spoilage",'FC inventory'!$B$2:$B1000,$A2,'FC inventory'!$A$2:$A1000,"&lt;"&amp;today()))+ (SUMIFS('FC inventory'!R$2:R1000,'FC inventory'!$C$2:$C1000,"In",'FC inventory'!$B$2:$B1000,$A2,'FC inventory'!$A$2:$A1000,Today()))-(SUMIFS('FC inventory'!R$2:R1000,'FC inventory'!$C$2:$C1000,"Out",'FC inventory'!$B$2:$B1000,$A2,'FC inventory'!$A$2:$A1000,Today()) - (SUMIFS('FC inventory'!R$2:R1000,'FC inventory'!$C$2:$C1000,"Retuned",'FC inventory'!$B$2:$B1000,$A2,'FC inventory'!$A$2:$A1000,Today()) - (SUMIFS('FC inventory'!R$2:R1000,'FC inventory'!$C$2:$C1000,"Spoilage",'FC inventory'!$B$2:$B1000,$A2,'FC inventory'!$A$2:$A1000,Today()))))</f>
        <v>12</v>
      </c>
      <c r="Q2" s="29">
        <f>(SUMIFS('FC inventory'!S$2:S1000,'FC inventory'!$C$2:$C1000,"In",'FC inventory'!$B$2:$B1000,$A2,'FC inventory'!$A$2:$A1000,"&lt;"&amp;Today())-SUMIFS('FC inventory'!S$2:S1000,'FC inventory'!$C$2:$C1000,"Out",'FC inventory'!$B$2:$B1000,$A2,'FC inventory'!$A$2:$A1000,"&lt;"&amp;Today())+SUMIFS('FC inventory'!S$2:S1000,'FC inventory'!$C$2:$C1000,"Return",'FC inventory'!$B$2:$B1000,$A2,'FC inventory'!$A$2:$A1000,"&lt;"&amp;Today())-SUMIFS('FC inventory'!S$2:S1000,'FC inventory'!$C$2:$C1000,"Spoilage",'FC inventory'!$B$2:$B1000,$A2,'FC inventory'!$A$2:$A1000,"&lt;"&amp;today()))+ (SUMIFS('FC inventory'!S$2:S1000,'FC inventory'!$C$2:$C1000,"In",'FC inventory'!$B$2:$B1000,$A2,'FC inventory'!$A$2:$A1000,Today()))-(SUMIFS('FC inventory'!S$2:S1000,'FC inventory'!$C$2:$C1000,"Out",'FC inventory'!$B$2:$B1000,$A2,'FC inventory'!$A$2:$A1000,Today()) - (SUMIFS('FC inventory'!S$2:S1000,'FC inventory'!$C$2:$C1000,"Retuned",'FC inventory'!$B$2:$B1000,$A2,'FC inventory'!$A$2:$A1000,Today()) - (SUMIFS('FC inventory'!S$2:S1000,'FC inventory'!$C$2:$C1000,"Spoilage",'FC inventory'!$B$2:$B1000,$A2,'FC inventory'!$A$2:$A1000,Today()))))</f>
        <v>0</v>
      </c>
      <c r="R2" s="29">
        <f>(SUMIFS('FC inventory'!T$2:T1000,'FC inventory'!$C$2:$C1000,"In",'FC inventory'!$B$2:$B1000,$A2,'FC inventory'!$A$2:$A1000,"&lt;"&amp;Today())-SUMIFS('FC inventory'!T$2:T1000,'FC inventory'!$C$2:$C1000,"Out",'FC inventory'!$B$2:$B1000,$A2,'FC inventory'!$A$2:$A1000,"&lt;"&amp;Today())+SUMIFS('FC inventory'!T$2:T1000,'FC inventory'!$C$2:$C1000,"Return",'FC inventory'!$B$2:$B1000,$A2,'FC inventory'!$A$2:$A1000,"&lt;"&amp;Today())-SUMIFS('FC inventory'!T$2:T1000,'FC inventory'!$C$2:$C1000,"Spoilage",'FC inventory'!$B$2:$B1000,$A2,'FC inventory'!$A$2:$A1000,"&lt;"&amp;today()))+ (SUMIFS('FC inventory'!T$2:T1000,'FC inventory'!$C$2:$C1000,"In",'FC inventory'!$B$2:$B1000,$A2,'FC inventory'!$A$2:$A1000,Today()))-(SUMIFS('FC inventory'!T$2:T1000,'FC inventory'!$C$2:$C1000,"Out",'FC inventory'!$B$2:$B1000,$A2,'FC inventory'!$A$2:$A1000,Today()) - (SUMIFS('FC inventory'!T$2:T1000,'FC inventory'!$C$2:$C1000,"Retuned",'FC inventory'!$B$2:$B1000,$A2,'FC inventory'!$A$2:$A1000,Today()) - (SUMIFS('FC inventory'!T$2:T1000,'FC inventory'!$C$2:$C1000,"Spoilage",'FC inventory'!$B$2:$B1000,$A2,'FC inventory'!$A$2:$A1000,Today()))))</f>
        <v>0</v>
      </c>
      <c r="S2" s="29">
        <f>(SUMIFS('FC inventory'!U$2:U1000,'FC inventory'!$C$2:$C1000,"In",'FC inventory'!$B$2:$B1000,$A2,'FC inventory'!$A$2:$A1000,"&lt;"&amp;Today())-SUMIFS('FC inventory'!U$2:U1000,'FC inventory'!$C$2:$C1000,"Out",'FC inventory'!$B$2:$B1000,$A2,'FC inventory'!$A$2:$A1000,"&lt;"&amp;Today())+SUMIFS('FC inventory'!U$2:U1000,'FC inventory'!$C$2:$C1000,"Return",'FC inventory'!$B$2:$B1000,$A2,'FC inventory'!$A$2:$A1000,"&lt;"&amp;Today())-SUMIFS('FC inventory'!U$2:U1000,'FC inventory'!$C$2:$C1000,"Spoilage",'FC inventory'!$B$2:$B1000,$A2,'FC inventory'!$A$2:$A1000,"&lt;"&amp;today()))+ (SUMIFS('FC inventory'!U$2:U1000,'FC inventory'!$C$2:$C1000,"In",'FC inventory'!$B$2:$B1000,$A2,'FC inventory'!$A$2:$A1000,Today()))-(SUMIFS('FC inventory'!U$2:U1000,'FC inventory'!$C$2:$C1000,"Out",'FC inventory'!$B$2:$B1000,$A2,'FC inventory'!$A$2:$A1000,Today()) - (SUMIFS('FC inventory'!U$2:U1000,'FC inventory'!$C$2:$C1000,"Retuned",'FC inventory'!$B$2:$B1000,$A2,'FC inventory'!$A$2:$A1000,Today()) - (SUMIFS('FC inventory'!U$2:U1000,'FC inventory'!$C$2:$C1000,"Spoilage",'FC inventory'!$B$2:$B1000,$A2,'FC inventory'!$A$2:$A1000,Today()))))</f>
        <v>0</v>
      </c>
      <c r="T2" s="29">
        <f>(SUMIFS('FC inventory'!V$2:V1000,'FC inventory'!$C$2:$C1000,"In",'FC inventory'!$B$2:$B1000,$A2,'FC inventory'!$A$2:$A1000,"&lt;"&amp;Today())-SUMIFS('FC inventory'!V$2:V1000,'FC inventory'!$C$2:$C1000,"Out",'FC inventory'!$B$2:$B1000,$A2,'FC inventory'!$A$2:$A1000,"&lt;"&amp;Today())+SUMIFS('FC inventory'!V$2:V1000,'FC inventory'!$C$2:$C1000,"Return",'FC inventory'!$B$2:$B1000,$A2,'FC inventory'!$A$2:$A1000,"&lt;"&amp;Today())-SUMIFS('FC inventory'!V$2:V1000,'FC inventory'!$C$2:$C1000,"Spoilage",'FC inventory'!$B$2:$B1000,$A2,'FC inventory'!$A$2:$A1000,"&lt;"&amp;today()))+ (SUMIFS('FC inventory'!V$2:V1000,'FC inventory'!$C$2:$C1000,"In",'FC inventory'!$B$2:$B1000,$A2,'FC inventory'!$A$2:$A1000,Today()))-(SUMIFS('FC inventory'!V$2:V1000,'FC inventory'!$C$2:$C1000,"Out",'FC inventory'!$B$2:$B1000,$A2,'FC inventory'!$A$2:$A1000,Today()) - (SUMIFS('FC inventory'!V$2:V1000,'FC inventory'!$C$2:$C1000,"Retuned",'FC inventory'!$B$2:$B1000,$A2,'FC inventory'!$A$2:$A1000,Today()) - (SUMIFS('FC inventory'!V$2:V1000,'FC inventory'!$C$2:$C1000,"Spoilage",'FC inventory'!$B$2:$B1000,$A2,'FC inventory'!$A$2:$A1000,Today()))))</f>
        <v>0</v>
      </c>
      <c r="U2" s="29">
        <f>(SUMIFS('FC inventory'!W$2:W1000,'FC inventory'!$C$2:$C1000,"In",'FC inventory'!$B$2:$B1000,$A2,'FC inventory'!$A$2:$A1000,"&lt;"&amp;Today())-SUMIFS('FC inventory'!W$2:W1000,'FC inventory'!$C$2:$C1000,"Out",'FC inventory'!$B$2:$B1000,$A2,'FC inventory'!$A$2:$A1000,"&lt;"&amp;Today())+SUMIFS('FC inventory'!W$2:W1000,'FC inventory'!$C$2:$C1000,"Return",'FC inventory'!$B$2:$B1000,$A2,'FC inventory'!$A$2:$A1000,"&lt;"&amp;Today())-SUMIFS('FC inventory'!W$2:W1000,'FC inventory'!$C$2:$C1000,"Spoilage",'FC inventory'!$B$2:$B1000,$A2,'FC inventory'!$A$2:$A1000,"&lt;"&amp;today()))+ (SUMIFS('FC inventory'!W$2:W1000,'FC inventory'!$C$2:$C1000,"In",'FC inventory'!$B$2:$B1000,$A2,'FC inventory'!$A$2:$A1000,Today()))-(SUMIFS('FC inventory'!W$2:W1000,'FC inventory'!$C$2:$C1000,"Out",'FC inventory'!$B$2:$B1000,$A2,'FC inventory'!$A$2:$A1000,Today()) - (SUMIFS('FC inventory'!W$2:W1000,'FC inventory'!$C$2:$C1000,"Retuned",'FC inventory'!$B$2:$B1000,$A2,'FC inventory'!$A$2:$A1000,Today()) - (SUMIFS('FC inventory'!W$2:W1000,'FC inventory'!$C$2:$C1000,"Spoilage",'FC inventory'!$B$2:$B1000,$A2,'FC inventory'!$A$2:$A1000,Today()))))</f>
        <v>19</v>
      </c>
      <c r="V2" s="29">
        <f>(SUMIFS('FC inventory'!X$2:X1000,'FC inventory'!$C$2:$C1000,"In",'FC inventory'!$B$2:$B1000,$A2,'FC inventory'!$A$2:$A1000,"&lt;"&amp;Today())-SUMIFS('FC inventory'!X$2:X1000,'FC inventory'!$C$2:$C1000,"Out",'FC inventory'!$B$2:$B1000,$A2,'FC inventory'!$A$2:$A1000,"&lt;"&amp;Today())+SUMIFS('FC inventory'!X$2:X1000,'FC inventory'!$C$2:$C1000,"Return",'FC inventory'!$B$2:$B1000,$A2,'FC inventory'!$A$2:$A1000,"&lt;"&amp;Today())-SUMIFS('FC inventory'!X$2:X1000,'FC inventory'!$C$2:$C1000,"Spoilage",'FC inventory'!$B$2:$B1000,$A2,'FC inventory'!$A$2:$A1000,"&lt;"&amp;today()))+ (SUMIFS('FC inventory'!X$2:X1000,'FC inventory'!$C$2:$C1000,"In",'FC inventory'!$B$2:$B1000,$A2,'FC inventory'!$A$2:$A1000,Today()))-(SUMIFS('FC inventory'!X$2:X1000,'FC inventory'!$C$2:$C1000,"Out",'FC inventory'!$B$2:$B1000,$A2,'FC inventory'!$A$2:$A1000,Today()) - (SUMIFS('FC inventory'!X$2:X1000,'FC inventory'!$C$2:$C1000,"Retuned",'FC inventory'!$B$2:$B1000,$A2,'FC inventory'!$A$2:$A1000,Today()) - (SUMIFS('FC inventory'!X$2:X1000,'FC inventory'!$C$2:$C1000,"Spoilage",'FC inventory'!$B$2:$B1000,$A2,'FC inventory'!$A$2:$A1000,Today()))))</f>
        <v>0</v>
      </c>
      <c r="W2" s="29">
        <f>(SUMIFS('FC inventory'!Y$2:Y1000,'FC inventory'!$C$2:$C1000,"In",'FC inventory'!$B$2:$B1000,$A2,'FC inventory'!$A$2:$A1000,"&lt;"&amp;Today())-SUMIFS('FC inventory'!Y$2:Y1000,'FC inventory'!$C$2:$C1000,"Out",'FC inventory'!$B$2:$B1000,$A2,'FC inventory'!$A$2:$A1000,"&lt;"&amp;Today())+SUMIFS('FC inventory'!Y$2:Y1000,'FC inventory'!$C$2:$C1000,"Return",'FC inventory'!$B$2:$B1000,$A2,'FC inventory'!$A$2:$A1000,"&lt;"&amp;Today())-SUMIFS('FC inventory'!Y$2:Y1000,'FC inventory'!$C$2:$C1000,"Spoilage",'FC inventory'!$B$2:$B1000,$A2,'FC inventory'!$A$2:$A1000,"&lt;"&amp;today()))+ (SUMIFS('FC inventory'!Y$2:Y1000,'FC inventory'!$C$2:$C1000,"In",'FC inventory'!$B$2:$B1000,$A2,'FC inventory'!$A$2:$A1000,Today()))-(SUMIFS('FC inventory'!Y$2:Y1000,'FC inventory'!$C$2:$C1000,"Out",'FC inventory'!$B$2:$B1000,$A2,'FC inventory'!$A$2:$A1000,Today()) - (SUMIFS('FC inventory'!Y$2:Y1000,'FC inventory'!$C$2:$C1000,"Retuned",'FC inventory'!$B$2:$B1000,$A2,'FC inventory'!$A$2:$A1000,Today()) - (SUMIFS('FC inventory'!Y$2:Y1000,'FC inventory'!$C$2:$C1000,"Spoilage",'FC inventory'!$B$2:$B1000,$A2,'FC inventory'!$A$2:$A1000,Today()))))</f>
        <v>0</v>
      </c>
      <c r="X2" s="29">
        <f>(SUMIFS('FC inventory'!Z$2:Z1000,'FC inventory'!$C$2:$C1000,"In",'FC inventory'!$B$2:$B1000,$A2,'FC inventory'!$A$2:$A1000,"&lt;"&amp;Today())-SUMIFS('FC inventory'!Z$2:Z1000,'FC inventory'!$C$2:$C1000,"Out",'FC inventory'!$B$2:$B1000,$A2,'FC inventory'!$A$2:$A1000,"&lt;"&amp;Today())+SUMIFS('FC inventory'!Z$2:Z1000,'FC inventory'!$C$2:$C1000,"Return",'FC inventory'!$B$2:$B1000,$A2,'FC inventory'!$A$2:$A1000,"&lt;"&amp;Today())-SUMIFS('FC inventory'!Z$2:Z1000,'FC inventory'!$C$2:$C1000,"Spoilage",'FC inventory'!$B$2:$B1000,$A2,'FC inventory'!$A$2:$A1000,"&lt;"&amp;today()))+ (SUMIFS('FC inventory'!Z$2:Z1000,'FC inventory'!$C$2:$C1000,"In",'FC inventory'!$B$2:$B1000,$A2,'FC inventory'!$A$2:$A1000,Today()))-(SUMIFS('FC inventory'!Z$2:Z1000,'FC inventory'!$C$2:$C1000,"Out",'FC inventory'!$B$2:$B1000,$A2,'FC inventory'!$A$2:$A1000,Today()) - (SUMIFS('FC inventory'!Z$2:Z1000,'FC inventory'!$C$2:$C1000,"Retuned",'FC inventory'!$B$2:$B1000,$A2,'FC inventory'!$A$2:$A1000,Today()) - (SUMIFS('FC inventory'!Z$2:Z1000,'FC inventory'!$C$2:$C1000,"Spoilage",'FC inventory'!$B$2:$B1000,$A2,'FC inventory'!$A$2:$A1000,Today()))))</f>
        <v>0</v>
      </c>
      <c r="Y2" s="29">
        <f>(SUMIFS('FC inventory'!AA$2:AA1000,'FC inventory'!$C$2:$C1000,"In",'FC inventory'!$B$2:$B1000,$A2,'FC inventory'!$A$2:$A1000,"&lt;"&amp;Today())-SUMIFS('FC inventory'!AA$2:AA1000,'FC inventory'!$C$2:$C1000,"Out",'FC inventory'!$B$2:$B1000,$A2,'FC inventory'!$A$2:$A1000,"&lt;"&amp;Today())+SUMIFS('FC inventory'!AA$2:AA1000,'FC inventory'!$C$2:$C1000,"Return",'FC inventory'!$B$2:$B1000,$A2,'FC inventory'!$A$2:$A1000,"&lt;"&amp;Today())-SUMIFS('FC inventory'!AA$2:AA1000,'FC inventory'!$C$2:$C1000,"Spoilage",'FC inventory'!$B$2:$B1000,$A2,'FC inventory'!$A$2:$A1000,"&lt;"&amp;today()))+ (SUMIFS('FC inventory'!AA$2:AA1000,'FC inventory'!$C$2:$C1000,"In",'FC inventory'!$B$2:$B1000,$A2,'FC inventory'!$A$2:$A1000,Today()))-(SUMIFS('FC inventory'!AA$2:AA1000,'FC inventory'!$C$2:$C1000,"Out",'FC inventory'!$B$2:$B1000,$A2,'FC inventory'!$A$2:$A1000,Today()) - (SUMIFS('FC inventory'!AA$2:AA1000,'FC inventory'!$C$2:$C1000,"Retuned",'FC inventory'!$B$2:$B1000,$A2,'FC inventory'!$A$2:$A1000,Today()) - (SUMIFS('FC inventory'!AA$2:AA1000,'FC inventory'!$C$2:$C1000,"Spoilage",'FC inventory'!$B$2:$B1000,$A2,'FC inventory'!$A$2:$A1000,Today()))))</f>
        <v>0</v>
      </c>
      <c r="Z2" s="29">
        <f>(SUMIFS('FC inventory'!AB$2:AB1000,'FC inventory'!$C$2:$C1000,"In",'FC inventory'!$B$2:$B1000,$A2,'FC inventory'!$A$2:$A1000,"&lt;"&amp;Today())-SUMIFS('FC inventory'!AB$2:AB1000,'FC inventory'!$C$2:$C1000,"Out",'FC inventory'!$B$2:$B1000,$A2,'FC inventory'!$A$2:$A1000,"&lt;"&amp;Today())+SUMIFS('FC inventory'!AB$2:AB1000,'FC inventory'!$C$2:$C1000,"Return",'FC inventory'!$B$2:$B1000,$A2,'FC inventory'!$A$2:$A1000,"&lt;"&amp;Today())-SUMIFS('FC inventory'!AB$2:AB1000,'FC inventory'!$C$2:$C1000,"Spoilage",'FC inventory'!$B$2:$B1000,$A2,'FC inventory'!$A$2:$A1000,"&lt;"&amp;today()))+ (SUMIFS('FC inventory'!AB$2:AB1000,'FC inventory'!$C$2:$C1000,"In",'FC inventory'!$B$2:$B1000,$A2,'FC inventory'!$A$2:$A1000,Today()))-(SUMIFS('FC inventory'!AB$2:AB1000,'FC inventory'!$C$2:$C1000,"Out",'FC inventory'!$B$2:$B1000,$A2,'FC inventory'!$A$2:$A1000,Today()) - (SUMIFS('FC inventory'!AB$2:AB1000,'FC inventory'!$C$2:$C1000,"Retuned",'FC inventory'!$B$2:$B1000,$A2,'FC inventory'!$A$2:$A1000,Today()) - (SUMIFS('FC inventory'!AB$2:AB1000,'FC inventory'!$C$2:$C1000,"Spoilage",'FC inventory'!$B$2:$B1000,$A2,'FC inventory'!$A$2:$A1000,Today()))))</f>
        <v>4</v>
      </c>
      <c r="AA2" s="29">
        <f>(SUMIFS('FC inventory'!AC$2:AC1000,'FC inventory'!$C$2:$C1000,"In",'FC inventory'!$B$2:$B1000,$A2,'FC inventory'!$A$2:$A1000,"&lt;"&amp;Today())-SUMIFS('FC inventory'!AC$2:AC1000,'FC inventory'!$C$2:$C1000,"Out",'FC inventory'!$B$2:$B1000,$A2,'FC inventory'!$A$2:$A1000,"&lt;"&amp;Today())+SUMIFS('FC inventory'!AC$2:AC1000,'FC inventory'!$C$2:$C1000,"Return",'FC inventory'!$B$2:$B1000,$A2,'FC inventory'!$A$2:$A1000,"&lt;"&amp;Today())-SUMIFS('FC inventory'!AC$2:AC1000,'FC inventory'!$C$2:$C1000,"Spoilage",'FC inventory'!$B$2:$B1000,$A2,'FC inventory'!$A$2:$A1000,"&lt;"&amp;today()))+ (SUMIFS('FC inventory'!AC$2:AC1000,'FC inventory'!$C$2:$C1000,"In",'FC inventory'!$B$2:$B1000,$A2,'FC inventory'!$A$2:$A1000,Today()))-(SUMIFS('FC inventory'!AC$2:AC1000,'FC inventory'!$C$2:$C1000,"Out",'FC inventory'!$B$2:$B1000,$A2,'FC inventory'!$A$2:$A1000,Today()) - (SUMIFS('FC inventory'!AC$2:AC1000,'FC inventory'!$C$2:$C1000,"Retuned",'FC inventory'!$B$2:$B1000,$A2,'FC inventory'!$A$2:$A1000,Today()) - (SUMIFS('FC inventory'!AC$2:AC1000,'FC inventory'!$C$2:$C1000,"Spoilage",'FC inventory'!$B$2:$B1000,$A2,'FC inventory'!$A$2:$A1000,Today()))))</f>
        <v>0</v>
      </c>
      <c r="AB2" s="29">
        <f>(SUMIFS('FC inventory'!AD$2:AD1000,'FC inventory'!$C$2:$C1000,"In",'FC inventory'!$B$2:$B1000,$A2,'FC inventory'!$A$2:$A1000,"&lt;"&amp;Today())-SUMIFS('FC inventory'!AD$2:AD1000,'FC inventory'!$C$2:$C1000,"Out",'FC inventory'!$B$2:$B1000,$A2,'FC inventory'!$A$2:$A1000,"&lt;"&amp;Today())+SUMIFS('FC inventory'!AD$2:AD1000,'FC inventory'!$C$2:$C1000,"Return",'FC inventory'!$B$2:$B1000,$A2,'FC inventory'!$A$2:$A1000,"&lt;"&amp;Today())-SUMIFS('FC inventory'!AD$2:AD1000,'FC inventory'!$C$2:$C1000,"Spoilage",'FC inventory'!$B$2:$B1000,$A2,'FC inventory'!$A$2:$A1000,"&lt;"&amp;today()))+ (SUMIFS('FC inventory'!AD$2:AD1000,'FC inventory'!$C$2:$C1000,"In",'FC inventory'!$B$2:$B1000,$A2,'FC inventory'!$A$2:$A1000,Today()))-(SUMIFS('FC inventory'!AD$2:AD1000,'FC inventory'!$C$2:$C1000,"Out",'FC inventory'!$B$2:$B1000,$A2,'FC inventory'!$A$2:$A1000,Today()) - (SUMIFS('FC inventory'!AD$2:AD1000,'FC inventory'!$C$2:$C1000,"Retuned",'FC inventory'!$B$2:$B1000,$A2,'FC inventory'!$A$2:$A1000,Today()) - (SUMIFS('FC inventory'!AD$2:AD1000,'FC inventory'!$C$2:$C1000,"Spoilage",'FC inventory'!$B$2:$B1000,$A2,'FC inventory'!$A$2:$A1000,Today()))))</f>
        <v>0</v>
      </c>
      <c r="AC2" s="29">
        <f>(SUMIFS('FC inventory'!AE$2:AE1000,'FC inventory'!$C$2:$C1000,"In",'FC inventory'!$B$2:$B1000,$A2,'FC inventory'!$A$2:$A1000,"&lt;"&amp;Today())-SUMIFS('FC inventory'!AE$2:AE1000,'FC inventory'!$C$2:$C1000,"Out",'FC inventory'!$B$2:$B1000,$A2,'FC inventory'!$A$2:$A1000,"&lt;"&amp;Today())+SUMIFS('FC inventory'!AE$2:AE1000,'FC inventory'!$C$2:$C1000,"Return",'FC inventory'!$B$2:$B1000,$A2,'FC inventory'!$A$2:$A1000,"&lt;"&amp;Today())-SUMIFS('FC inventory'!AE$2:AE1000,'FC inventory'!$C$2:$C1000,"Spoilage",'FC inventory'!$B$2:$B1000,$A2,'FC inventory'!$A$2:$A1000,"&lt;"&amp;today()))+ (SUMIFS('FC inventory'!AE$2:AE1000,'FC inventory'!$C$2:$C1000,"In",'FC inventory'!$B$2:$B1000,$A2,'FC inventory'!$A$2:$A1000,Today()))-(SUMIFS('FC inventory'!AE$2:AE1000,'FC inventory'!$C$2:$C1000,"Out",'FC inventory'!$B$2:$B1000,$A2,'FC inventory'!$A$2:$A1000,Today()) - (SUMIFS('FC inventory'!AE$2:AE1000,'FC inventory'!$C$2:$C1000,"Retuned",'FC inventory'!$B$2:$B1000,$A2,'FC inventory'!$A$2:$A1000,Today()) - (SUMIFS('FC inventory'!AE$2:AE1000,'FC inventory'!$C$2:$C1000,"Spoilage",'FC inventory'!$B$2:$B1000,$A2,'FC inventory'!$A$2:$A1000,Today()))))</f>
        <v>0</v>
      </c>
      <c r="AD2" s="29">
        <f>(SUMIFS('FC inventory'!AF$2:AF1000,'FC inventory'!$C$2:$C1000,"In",'FC inventory'!$B$2:$B1000,$A2,'FC inventory'!$A$2:$A1000,"&lt;"&amp;Today())-SUMIFS('FC inventory'!AF$2:AF1000,'FC inventory'!$C$2:$C1000,"Out",'FC inventory'!$B$2:$B1000,$A2,'FC inventory'!$A$2:$A1000,"&lt;"&amp;Today())+SUMIFS('FC inventory'!AF$2:AF1000,'FC inventory'!$C$2:$C1000,"Return",'FC inventory'!$B$2:$B1000,$A2,'FC inventory'!$A$2:$A1000,"&lt;"&amp;Today())-SUMIFS('FC inventory'!AF$2:AF1000,'FC inventory'!$C$2:$C1000,"Spoilage",'FC inventory'!$B$2:$B1000,$A2,'FC inventory'!$A$2:$A1000,"&lt;"&amp;today()))+ (SUMIFS('FC inventory'!AF$2:AF1000,'FC inventory'!$C$2:$C1000,"In",'FC inventory'!$B$2:$B1000,$A2,'FC inventory'!$A$2:$A1000,Today()))-(SUMIFS('FC inventory'!AF$2:AF1000,'FC inventory'!$C$2:$C1000,"Out",'FC inventory'!$B$2:$B1000,$A2,'FC inventory'!$A$2:$A1000,Today()) - (SUMIFS('FC inventory'!AF$2:AF1000,'FC inventory'!$C$2:$C1000,"Retuned",'FC inventory'!$B$2:$B1000,$A2,'FC inventory'!$A$2:$A1000,Today()) - (SUMIFS('FC inventory'!AF$2:AF1000,'FC inventory'!$C$2:$C1000,"Spoilage",'FC inventory'!$B$2:$B1000,$A2,'FC inventory'!$A$2:$A1000,Today()))))</f>
        <v>0</v>
      </c>
      <c r="AE2" s="29">
        <f>(SUMIFS('FC inventory'!AG$2:AG1000,'FC inventory'!$C$2:$C1000,"In",'FC inventory'!$B$2:$B1000,$A2,'FC inventory'!$A$2:$A1000,"&lt;"&amp;Today())-SUMIFS('FC inventory'!AG$2:AG1000,'FC inventory'!$C$2:$C1000,"Out",'FC inventory'!$B$2:$B1000,$A2,'FC inventory'!$A$2:$A1000,"&lt;"&amp;Today())+SUMIFS('FC inventory'!AG$2:AG1000,'FC inventory'!$C$2:$C1000,"Return",'FC inventory'!$B$2:$B1000,$A2,'FC inventory'!$A$2:$A1000,"&lt;"&amp;Today())-SUMIFS('FC inventory'!AG$2:AG1000,'FC inventory'!$C$2:$C1000,"Spoilage",'FC inventory'!$B$2:$B1000,$A2,'FC inventory'!$A$2:$A1000,"&lt;"&amp;today()))+ (SUMIFS('FC inventory'!AG$2:AG1000,'FC inventory'!$C$2:$C1000,"In",'FC inventory'!$B$2:$B1000,$A2,'FC inventory'!$A$2:$A1000,Today()))-(SUMIFS('FC inventory'!AG$2:AG1000,'FC inventory'!$C$2:$C1000,"Out",'FC inventory'!$B$2:$B1000,$A2,'FC inventory'!$A$2:$A1000,Today()) - (SUMIFS('FC inventory'!AG$2:AG1000,'FC inventory'!$C$2:$C1000,"Retuned",'FC inventory'!$B$2:$B1000,$A2,'FC inventory'!$A$2:$A1000,Today()) - (SUMIFS('FC inventory'!AG$2:AG1000,'FC inventory'!$C$2:$C1000,"Spoilage",'FC inventory'!$B$2:$B1000,$A2,'FC inventory'!$A$2:$A1000,Today()))))</f>
        <v>0</v>
      </c>
      <c r="AF2" s="29">
        <f>(SUMIFS('FC inventory'!AH$2:AH1000,'FC inventory'!$C$2:$C1000,"In",'FC inventory'!$B$2:$B1000,$A2,'FC inventory'!$A$2:$A1000,"&lt;"&amp;Today())-SUMIFS('FC inventory'!AH$2:AH1000,'FC inventory'!$C$2:$C1000,"Out",'FC inventory'!$B$2:$B1000,$A2,'FC inventory'!$A$2:$A1000,"&lt;"&amp;Today())+SUMIFS('FC inventory'!AH$2:AH1000,'FC inventory'!$C$2:$C1000,"Return",'FC inventory'!$B$2:$B1000,$A2,'FC inventory'!$A$2:$A1000,"&lt;"&amp;Today())-SUMIFS('FC inventory'!AH$2:AH1000,'FC inventory'!$C$2:$C1000,"Spoilage",'FC inventory'!$B$2:$B1000,$A2,'FC inventory'!$A$2:$A1000,"&lt;"&amp;today()))+ (SUMIFS('FC inventory'!AH$2:AH1000,'FC inventory'!$C$2:$C1000,"In",'FC inventory'!$B$2:$B1000,$A2,'FC inventory'!$A$2:$A1000,Today()))-(SUMIFS('FC inventory'!AH$2:AH1000,'FC inventory'!$C$2:$C1000,"Out",'FC inventory'!$B$2:$B1000,$A2,'FC inventory'!$A$2:$A1000,Today()) - (SUMIFS('FC inventory'!AH$2:AH1000,'FC inventory'!$C$2:$C1000,"Retuned",'FC inventory'!$B$2:$B1000,$A2,'FC inventory'!$A$2:$A1000,Today()) - (SUMIFS('FC inventory'!AH$2:AH1000,'FC inventory'!$C$2:$C1000,"Spoilage",'FC inventory'!$B$2:$B1000,$A2,'FC inventory'!$A$2:$A1000,Today()))))</f>
        <v>0</v>
      </c>
    </row>
    <row r="3">
      <c r="A3" s="28" t="s">
        <v>40</v>
      </c>
      <c r="B3" s="29">
        <f>(SUMIFS('FC inventory'!D$2:D1000,'FC inventory'!$C$2:$C1000,"In",'FC inventory'!$B$2:$B1000,$A3,'FC inventory'!$A$2:$A1000,"&lt;"&amp;Today())-SUMIFS('FC inventory'!D$2:D1000,'FC inventory'!$C$2:$C1000,"Out",'FC inventory'!$B$2:$B1000,$A3,'FC inventory'!$A$2:$A1000,"&lt;"&amp;Today())+SUMIFS('FC inventory'!D$2:D1000,'FC inventory'!$C$2:$C1000,"Return",'FC inventory'!$B$2:$B1000,$A3,'FC inventory'!$A$2:$A1000,"&lt;"&amp;Today())-SUMIFS('FC inventory'!D$2:D1000,'FC inventory'!$C$2:$C1000,"Spoilage",'FC inventory'!$B$2:$B1000,$A3,'FC inventory'!$A$2:$A1000,"&lt;"&amp;today()))+ (SUMIFS('FC inventory'!D$2:D1000,'FC inventory'!$C$2:$C1000,"In",'FC inventory'!$B$2:$B1000,$A3,'FC inventory'!$A$2:$A1000,Today()))-(SUMIFS('FC inventory'!D$2:D1000,'FC inventory'!$C$2:$C1000,"Out",'FC inventory'!$B$2:$B1000,$A3,'FC inventory'!$A$2:$A1000,Today()) - (SUMIFS('FC inventory'!D$2:D1000,'FC inventory'!$C$2:$C1000,"Retuned",'FC inventory'!$B$2:$B1000,$A3,'FC inventory'!$A$2:$A1000,Today()) - (SUMIFS('FC inventory'!D$2:D1000,'FC inventory'!$C$2:$C1000,"Spoilage",'FC inventory'!$B$2:$B1000,$A3,'FC inventory'!$A$2:$A1000,Today()))))</f>
        <v>0</v>
      </c>
      <c r="C3" s="29">
        <f>(SUMIFS('FC inventory'!E$2:E1000,'FC inventory'!$C$2:$C1000,"In",'FC inventory'!$B$2:$B1000,$A3,'FC inventory'!$A$2:$A1000,"&lt;"&amp;Today())-SUMIFS('FC inventory'!E$2:E1000,'FC inventory'!$C$2:$C1000,"Out",'FC inventory'!$B$2:$B1000,$A3,'FC inventory'!$A$2:$A1000,"&lt;"&amp;Today())+SUMIFS('FC inventory'!E$2:E1000,'FC inventory'!$C$2:$C1000,"Return",'FC inventory'!$B$2:$B1000,$A3,'FC inventory'!$A$2:$A1000,"&lt;"&amp;Today())-SUMIFS('FC inventory'!E$2:E1000,'FC inventory'!$C$2:$C1000,"Spoilage",'FC inventory'!$B$2:$B1000,$A3,'FC inventory'!$A$2:$A1000,"&lt;"&amp;today()))+ (SUMIFS('FC inventory'!E$2:E1000,'FC inventory'!$C$2:$C1000,"In",'FC inventory'!$B$2:$B1000,$A3,'FC inventory'!$A$2:$A1000,Today()))-(SUMIFS('FC inventory'!E$2:E1000,'FC inventory'!$C$2:$C1000,"Out",'FC inventory'!$B$2:$B1000,$A3,'FC inventory'!$A$2:$A1000,Today()) - (SUMIFS('FC inventory'!E$2:E1000,'FC inventory'!$C$2:$C1000,"Retuned",'FC inventory'!$B$2:$B1000,$A3,'FC inventory'!$A$2:$A1000,Today()) - (SUMIFS('FC inventory'!E$2:E1000,'FC inventory'!$C$2:$C1000,"Spoilage",'FC inventory'!$B$2:$B1000,$A3,'FC inventory'!$A$2:$A1000,Today()))))</f>
        <v>3</v>
      </c>
      <c r="D3" s="29">
        <f>(SUMIFS('FC inventory'!F$2:F1000,'FC inventory'!$C$2:$C1000,"In",'FC inventory'!$B$2:$B1000,$A3,'FC inventory'!$A$2:$A1000,"&lt;"&amp;Today())-SUMIFS('FC inventory'!F$2:F1000,'FC inventory'!$C$2:$C1000,"Out",'FC inventory'!$B$2:$B1000,$A3,'FC inventory'!$A$2:$A1000,"&lt;"&amp;Today())+SUMIFS('FC inventory'!F$2:F1000,'FC inventory'!$C$2:$C1000,"Return",'FC inventory'!$B$2:$B1000,$A3,'FC inventory'!$A$2:$A1000,"&lt;"&amp;Today())-SUMIFS('FC inventory'!F$2:F1000,'FC inventory'!$C$2:$C1000,"Spoilage",'FC inventory'!$B$2:$B1000,$A3,'FC inventory'!$A$2:$A1000,"&lt;"&amp;today()))+ (SUMIFS('FC inventory'!F$2:F1000,'FC inventory'!$C$2:$C1000,"In",'FC inventory'!$B$2:$B1000,$A3,'FC inventory'!$A$2:$A1000,Today()))-(SUMIFS('FC inventory'!F$2:F1000,'FC inventory'!$C$2:$C1000,"Out",'FC inventory'!$B$2:$B1000,$A3,'FC inventory'!$A$2:$A1000,Today()) - (SUMIFS('FC inventory'!F$2:F1000,'FC inventory'!$C$2:$C1000,"Retuned",'FC inventory'!$B$2:$B1000,$A3,'FC inventory'!$A$2:$A1000,Today()) - (SUMIFS('FC inventory'!F$2:F1000,'FC inventory'!$C$2:$C1000,"Spoilage",'FC inventory'!$B$2:$B1000,$A3,'FC inventory'!$A$2:$A1000,Today()))))</f>
        <v>0</v>
      </c>
      <c r="E3" s="29">
        <f>(SUMIFS('FC inventory'!G$2:G1000,'FC inventory'!$C$2:$C1000,"In",'FC inventory'!$B$2:$B1000,$A3,'FC inventory'!$A$2:$A1000,"&lt;"&amp;Today())-SUMIFS('FC inventory'!G$2:G1000,'FC inventory'!$C$2:$C1000,"Out",'FC inventory'!$B$2:$B1000,$A3,'FC inventory'!$A$2:$A1000,"&lt;"&amp;Today())+SUMIFS('FC inventory'!G$2:G1000,'FC inventory'!$C$2:$C1000,"Return",'FC inventory'!$B$2:$B1000,$A3,'FC inventory'!$A$2:$A1000,"&lt;"&amp;Today())-SUMIFS('FC inventory'!G$2:G1000,'FC inventory'!$C$2:$C1000,"Spoilage",'FC inventory'!$B$2:$B1000,$A3,'FC inventory'!$A$2:$A1000,"&lt;"&amp;today()))+ (SUMIFS('FC inventory'!G$2:G1000,'FC inventory'!$C$2:$C1000,"In",'FC inventory'!$B$2:$B1000,$A3,'FC inventory'!$A$2:$A1000,Today()))-(SUMIFS('FC inventory'!G$2:G1000,'FC inventory'!$C$2:$C1000,"Out",'FC inventory'!$B$2:$B1000,$A3,'FC inventory'!$A$2:$A1000,Today()) - (SUMIFS('FC inventory'!G$2:G1000,'FC inventory'!$C$2:$C1000,"Retuned",'FC inventory'!$B$2:$B1000,$A3,'FC inventory'!$A$2:$A1000,Today()) - (SUMIFS('FC inventory'!G$2:G1000,'FC inventory'!$C$2:$C1000,"Spoilage",'FC inventory'!$B$2:$B1000,$A3,'FC inventory'!$A$2:$A1000,Today()))))</f>
        <v>0</v>
      </c>
      <c r="F3" s="29">
        <f>(SUMIFS('FC inventory'!H$2:H1000,'FC inventory'!$C$2:$C1000,"In",'FC inventory'!$B$2:$B1000,$A3,'FC inventory'!$A$2:$A1000,"&lt;"&amp;Today())-SUMIFS('FC inventory'!H$2:H1000,'FC inventory'!$C$2:$C1000,"Out",'FC inventory'!$B$2:$B1000,$A3,'FC inventory'!$A$2:$A1000,"&lt;"&amp;Today())+SUMIFS('FC inventory'!H$2:H1000,'FC inventory'!$C$2:$C1000,"Return",'FC inventory'!$B$2:$B1000,$A3,'FC inventory'!$A$2:$A1000,"&lt;"&amp;Today())-SUMIFS('FC inventory'!H$2:H1000,'FC inventory'!$C$2:$C1000,"Spoilage",'FC inventory'!$B$2:$B1000,$A3,'FC inventory'!$A$2:$A1000,"&lt;"&amp;today()))+ (SUMIFS('FC inventory'!H$2:H1000,'FC inventory'!$C$2:$C1000,"In",'FC inventory'!$B$2:$B1000,$A3,'FC inventory'!$A$2:$A1000,Today()))-(SUMIFS('FC inventory'!H$2:H1000,'FC inventory'!$C$2:$C1000,"Out",'FC inventory'!$B$2:$B1000,$A3,'FC inventory'!$A$2:$A1000,Today()) - (SUMIFS('FC inventory'!H$2:H1000,'FC inventory'!$C$2:$C1000,"Retuned",'FC inventory'!$B$2:$B1000,$A3,'FC inventory'!$A$2:$A1000,Today()) - (SUMIFS('FC inventory'!H$2:H1000,'FC inventory'!$C$2:$C1000,"Spoilage",'FC inventory'!$B$2:$B1000,$A3,'FC inventory'!$A$2:$A1000,Today()))))</f>
        <v>0</v>
      </c>
      <c r="G3" s="29">
        <f>(SUMIFS('FC inventory'!I$2:I1000,'FC inventory'!$C$2:$C1000,"In",'FC inventory'!$B$2:$B1000,$A3,'FC inventory'!$A$2:$A1000,"&lt;"&amp;Today())-SUMIFS('FC inventory'!I$2:I1000,'FC inventory'!$C$2:$C1000,"Out",'FC inventory'!$B$2:$B1000,$A3,'FC inventory'!$A$2:$A1000,"&lt;"&amp;Today())+SUMIFS('FC inventory'!I$2:I1000,'FC inventory'!$C$2:$C1000,"Return",'FC inventory'!$B$2:$B1000,$A3,'FC inventory'!$A$2:$A1000,"&lt;"&amp;Today())-SUMIFS('FC inventory'!I$2:I1000,'FC inventory'!$C$2:$C1000,"Spoilage",'FC inventory'!$B$2:$B1000,$A3,'FC inventory'!$A$2:$A1000,"&lt;"&amp;today()))+ (SUMIFS('FC inventory'!I$2:I1000,'FC inventory'!$C$2:$C1000,"In",'FC inventory'!$B$2:$B1000,$A3,'FC inventory'!$A$2:$A1000,Today()))-(SUMIFS('FC inventory'!I$2:I1000,'FC inventory'!$C$2:$C1000,"Out",'FC inventory'!$B$2:$B1000,$A3,'FC inventory'!$A$2:$A1000,Today()) - (SUMIFS('FC inventory'!I$2:I1000,'FC inventory'!$C$2:$C1000,"Retuned",'FC inventory'!$B$2:$B1000,$A3,'FC inventory'!$A$2:$A1000,Today()) - (SUMIFS('FC inventory'!I$2:I1000,'FC inventory'!$C$2:$C1000,"Spoilage",'FC inventory'!$B$2:$B1000,$A3,'FC inventory'!$A$2:$A1000,Today()))))</f>
        <v>25</v>
      </c>
      <c r="H3" s="29">
        <f>(SUMIFS('FC inventory'!J$2:J1000,'FC inventory'!$C$2:$C1000,"In",'FC inventory'!$B$2:$B1000,$A3,'FC inventory'!$A$2:$A1000,"&lt;"&amp;Today())-SUMIFS('FC inventory'!J$2:J1000,'FC inventory'!$C$2:$C1000,"Out",'FC inventory'!$B$2:$B1000,$A3,'FC inventory'!$A$2:$A1000,"&lt;"&amp;Today())+SUMIFS('FC inventory'!J$2:J1000,'FC inventory'!$C$2:$C1000,"Return",'FC inventory'!$B$2:$B1000,$A3,'FC inventory'!$A$2:$A1000,"&lt;"&amp;Today())-SUMIFS('FC inventory'!J$2:J1000,'FC inventory'!$C$2:$C1000,"Spoilage",'FC inventory'!$B$2:$B1000,$A3,'FC inventory'!$A$2:$A1000,"&lt;"&amp;today()))+ (SUMIFS('FC inventory'!J$2:J1000,'FC inventory'!$C$2:$C1000,"In",'FC inventory'!$B$2:$B1000,$A3,'FC inventory'!$A$2:$A1000,Today()))-(SUMIFS('FC inventory'!J$2:J1000,'FC inventory'!$C$2:$C1000,"Out",'FC inventory'!$B$2:$B1000,$A3,'FC inventory'!$A$2:$A1000,Today()) - (SUMIFS('FC inventory'!J$2:J1000,'FC inventory'!$C$2:$C1000,"Retuned",'FC inventory'!$B$2:$B1000,$A3,'FC inventory'!$A$2:$A1000,Today()) - (SUMIFS('FC inventory'!J$2:J1000,'FC inventory'!$C$2:$C1000,"Spoilage",'FC inventory'!$B$2:$B1000,$A3,'FC inventory'!$A$2:$A1000,Today()))))</f>
        <v>0</v>
      </c>
      <c r="I3" s="29">
        <f>(SUMIFS('FC inventory'!K$2:K1000,'FC inventory'!$C$2:$C1000,"In",'FC inventory'!$B$2:$B1000,$A3,'FC inventory'!$A$2:$A1000,"&lt;"&amp;Today())-SUMIFS('FC inventory'!K$2:K1000,'FC inventory'!$C$2:$C1000,"Out",'FC inventory'!$B$2:$B1000,$A3,'FC inventory'!$A$2:$A1000,"&lt;"&amp;Today())+SUMIFS('FC inventory'!K$2:K1000,'FC inventory'!$C$2:$C1000,"Return",'FC inventory'!$B$2:$B1000,$A3,'FC inventory'!$A$2:$A1000,"&lt;"&amp;Today())-SUMIFS('FC inventory'!K$2:K1000,'FC inventory'!$C$2:$C1000,"Spoilage",'FC inventory'!$B$2:$B1000,$A3,'FC inventory'!$A$2:$A1000,"&lt;"&amp;today()))+ (SUMIFS('FC inventory'!K$2:K1000,'FC inventory'!$C$2:$C1000,"In",'FC inventory'!$B$2:$B1000,$A3,'FC inventory'!$A$2:$A1000,Today()))-(SUMIFS('FC inventory'!K$2:K1000,'FC inventory'!$C$2:$C1000,"Out",'FC inventory'!$B$2:$B1000,$A3,'FC inventory'!$A$2:$A1000,Today()) - (SUMIFS('FC inventory'!K$2:K1000,'FC inventory'!$C$2:$C1000,"Retuned",'FC inventory'!$B$2:$B1000,$A3,'FC inventory'!$A$2:$A1000,Today()) - (SUMIFS('FC inventory'!K$2:K1000,'FC inventory'!$C$2:$C1000,"Spoilage",'FC inventory'!$B$2:$B1000,$A3,'FC inventory'!$A$2:$A1000,Today()))))</f>
        <v>0</v>
      </c>
      <c r="J3" s="29">
        <f>(SUMIFS('FC inventory'!L$2:L1000,'FC inventory'!$C$2:$C1000,"In",'FC inventory'!$B$2:$B1000,$A3,'FC inventory'!$A$2:$A1000,"&lt;"&amp;Today())-SUMIFS('FC inventory'!L$2:L1000,'FC inventory'!$C$2:$C1000,"Out",'FC inventory'!$B$2:$B1000,$A3,'FC inventory'!$A$2:$A1000,"&lt;"&amp;Today())+SUMIFS('FC inventory'!L$2:L1000,'FC inventory'!$C$2:$C1000,"Return",'FC inventory'!$B$2:$B1000,$A3,'FC inventory'!$A$2:$A1000,"&lt;"&amp;Today())-SUMIFS('FC inventory'!L$2:L1000,'FC inventory'!$C$2:$C1000,"Spoilage",'FC inventory'!$B$2:$B1000,$A3,'FC inventory'!$A$2:$A1000,"&lt;"&amp;today()))+ (SUMIFS('FC inventory'!L$2:L1000,'FC inventory'!$C$2:$C1000,"In",'FC inventory'!$B$2:$B1000,$A3,'FC inventory'!$A$2:$A1000,Today()))-(SUMIFS('FC inventory'!L$2:L1000,'FC inventory'!$C$2:$C1000,"Out",'FC inventory'!$B$2:$B1000,$A3,'FC inventory'!$A$2:$A1000,Today()) - (SUMIFS('FC inventory'!L$2:L1000,'FC inventory'!$C$2:$C1000,"Retuned",'FC inventory'!$B$2:$B1000,$A3,'FC inventory'!$A$2:$A1000,Today()) - (SUMIFS('FC inventory'!L$2:L1000,'FC inventory'!$C$2:$C1000,"Spoilage",'FC inventory'!$B$2:$B1000,$A3,'FC inventory'!$A$2:$A1000,Today()))))</f>
        <v>0</v>
      </c>
      <c r="K3" s="29">
        <f>(SUMIFS('FC inventory'!M$2:M1000,'FC inventory'!$C$2:$C1000,"In",'FC inventory'!$B$2:$B1000,$A3,'FC inventory'!$A$2:$A1000,"&lt;"&amp;Today())-SUMIFS('FC inventory'!M$2:M1000,'FC inventory'!$C$2:$C1000,"Out",'FC inventory'!$B$2:$B1000,$A3,'FC inventory'!$A$2:$A1000,"&lt;"&amp;Today())+SUMIFS('FC inventory'!M$2:M1000,'FC inventory'!$C$2:$C1000,"Return",'FC inventory'!$B$2:$B1000,$A3,'FC inventory'!$A$2:$A1000,"&lt;"&amp;Today())-SUMIFS('FC inventory'!M$2:M1000,'FC inventory'!$C$2:$C1000,"Spoilage",'FC inventory'!$B$2:$B1000,$A3,'FC inventory'!$A$2:$A1000,"&lt;"&amp;today()))+ (SUMIFS('FC inventory'!M$2:M1000,'FC inventory'!$C$2:$C1000,"In",'FC inventory'!$B$2:$B1000,$A3,'FC inventory'!$A$2:$A1000,Today()))-(SUMIFS('FC inventory'!M$2:M1000,'FC inventory'!$C$2:$C1000,"Out",'FC inventory'!$B$2:$B1000,$A3,'FC inventory'!$A$2:$A1000,Today()) - (SUMIFS('FC inventory'!M$2:M1000,'FC inventory'!$C$2:$C1000,"Retuned",'FC inventory'!$B$2:$B1000,$A3,'FC inventory'!$A$2:$A1000,Today()) - (SUMIFS('FC inventory'!M$2:M1000,'FC inventory'!$C$2:$C1000,"Spoilage",'FC inventory'!$B$2:$B1000,$A3,'FC inventory'!$A$2:$A1000,Today()))))</f>
        <v>0</v>
      </c>
      <c r="L3" s="29">
        <f>(SUMIFS('FC inventory'!N$2:N1000,'FC inventory'!$C$2:$C1000,"In",'FC inventory'!$B$2:$B1000,$A3,'FC inventory'!$A$2:$A1000,"&lt;"&amp;Today())-SUMIFS('FC inventory'!N$2:N1000,'FC inventory'!$C$2:$C1000,"Out",'FC inventory'!$B$2:$B1000,$A3,'FC inventory'!$A$2:$A1000,"&lt;"&amp;Today())+SUMIFS('FC inventory'!N$2:N1000,'FC inventory'!$C$2:$C1000,"Return",'FC inventory'!$B$2:$B1000,$A3,'FC inventory'!$A$2:$A1000,"&lt;"&amp;Today())-SUMIFS('FC inventory'!N$2:N1000,'FC inventory'!$C$2:$C1000,"Spoilage",'FC inventory'!$B$2:$B1000,$A3,'FC inventory'!$A$2:$A1000,"&lt;"&amp;today()))+ (SUMIFS('FC inventory'!N$2:N1000,'FC inventory'!$C$2:$C1000,"In",'FC inventory'!$B$2:$B1000,$A3,'FC inventory'!$A$2:$A1000,Today()))-(SUMIFS('FC inventory'!N$2:N1000,'FC inventory'!$C$2:$C1000,"Out",'FC inventory'!$B$2:$B1000,$A3,'FC inventory'!$A$2:$A1000,Today()) - (SUMIFS('FC inventory'!N$2:N1000,'FC inventory'!$C$2:$C1000,"Retuned",'FC inventory'!$B$2:$B1000,$A3,'FC inventory'!$A$2:$A1000,Today()) - (SUMIFS('FC inventory'!N$2:N1000,'FC inventory'!$C$2:$C1000,"Spoilage",'FC inventory'!$B$2:$B1000,$A3,'FC inventory'!$A$2:$A1000,Today()))))</f>
        <v>0</v>
      </c>
      <c r="M3" s="29">
        <f>(SUMIFS('FC inventory'!O$2:O1000,'FC inventory'!$C$2:$C1000,"In",'FC inventory'!$B$2:$B1000,$A3,'FC inventory'!$A$2:$A1000,"&lt;"&amp;Today())-SUMIFS('FC inventory'!O$2:O1000,'FC inventory'!$C$2:$C1000,"Out",'FC inventory'!$B$2:$B1000,$A3,'FC inventory'!$A$2:$A1000,"&lt;"&amp;Today())+SUMIFS('FC inventory'!O$2:O1000,'FC inventory'!$C$2:$C1000,"Return",'FC inventory'!$B$2:$B1000,$A3,'FC inventory'!$A$2:$A1000,"&lt;"&amp;Today())-SUMIFS('FC inventory'!O$2:O1000,'FC inventory'!$C$2:$C1000,"Spoilage",'FC inventory'!$B$2:$B1000,$A3,'FC inventory'!$A$2:$A1000,"&lt;"&amp;today()))+ (SUMIFS('FC inventory'!O$2:O1000,'FC inventory'!$C$2:$C1000,"In",'FC inventory'!$B$2:$B1000,$A3,'FC inventory'!$A$2:$A1000,Today()))-(SUMIFS('FC inventory'!O$2:O1000,'FC inventory'!$C$2:$C1000,"Out",'FC inventory'!$B$2:$B1000,$A3,'FC inventory'!$A$2:$A1000,Today()) - (SUMIFS('FC inventory'!O$2:O1000,'FC inventory'!$C$2:$C1000,"Retuned",'FC inventory'!$B$2:$B1000,$A3,'FC inventory'!$A$2:$A1000,Today()) - (SUMIFS('FC inventory'!O$2:O1000,'FC inventory'!$C$2:$C1000,"Spoilage",'FC inventory'!$B$2:$B1000,$A3,'FC inventory'!$A$2:$A1000,Today()))))</f>
        <v>1</v>
      </c>
      <c r="N3" s="29">
        <f>(SUMIFS('FC inventory'!P$2:P1000,'FC inventory'!$C$2:$C1000,"In",'FC inventory'!$B$2:$B1000,$A3,'FC inventory'!$A$2:$A1000,"&lt;"&amp;Today())-SUMIFS('FC inventory'!P$2:P1000,'FC inventory'!$C$2:$C1000,"Out",'FC inventory'!$B$2:$B1000,$A3,'FC inventory'!$A$2:$A1000,"&lt;"&amp;Today())+SUMIFS('FC inventory'!P$2:P1000,'FC inventory'!$C$2:$C1000,"Return",'FC inventory'!$B$2:$B1000,$A3,'FC inventory'!$A$2:$A1000,"&lt;"&amp;Today())-SUMIFS('FC inventory'!P$2:P1000,'FC inventory'!$C$2:$C1000,"Spoilage",'FC inventory'!$B$2:$B1000,$A3,'FC inventory'!$A$2:$A1000,"&lt;"&amp;today()))+ (SUMIFS('FC inventory'!P$2:P1000,'FC inventory'!$C$2:$C1000,"In",'FC inventory'!$B$2:$B1000,$A3,'FC inventory'!$A$2:$A1000,Today()))-(SUMIFS('FC inventory'!P$2:P1000,'FC inventory'!$C$2:$C1000,"Out",'FC inventory'!$B$2:$B1000,$A3,'FC inventory'!$A$2:$A1000,Today()) - (SUMIFS('FC inventory'!P$2:P1000,'FC inventory'!$C$2:$C1000,"Retuned",'FC inventory'!$B$2:$B1000,$A3,'FC inventory'!$A$2:$A1000,Today()) - (SUMIFS('FC inventory'!P$2:P1000,'FC inventory'!$C$2:$C1000,"Spoilage",'FC inventory'!$B$2:$B1000,$A3,'FC inventory'!$A$2:$A1000,Today()))))</f>
        <v>0</v>
      </c>
      <c r="O3" s="29">
        <f>(SUMIFS('FC inventory'!Q$2:Q1000,'FC inventory'!$C$2:$C1000,"In",'FC inventory'!$B$2:$B1000,$A3,'FC inventory'!$A$2:$A1000,"&lt;"&amp;Today())-SUMIFS('FC inventory'!Q$2:Q1000,'FC inventory'!$C$2:$C1000,"Out",'FC inventory'!$B$2:$B1000,$A3,'FC inventory'!$A$2:$A1000,"&lt;"&amp;Today())+SUMIFS('FC inventory'!Q$2:Q1000,'FC inventory'!$C$2:$C1000,"Return",'FC inventory'!$B$2:$B1000,$A3,'FC inventory'!$A$2:$A1000,"&lt;"&amp;Today())-SUMIFS('FC inventory'!Q$2:Q1000,'FC inventory'!$C$2:$C1000,"Spoilage",'FC inventory'!$B$2:$B1000,$A3,'FC inventory'!$A$2:$A1000,"&lt;"&amp;today()))+ (SUMIFS('FC inventory'!Q$2:Q1000,'FC inventory'!$C$2:$C1000,"In",'FC inventory'!$B$2:$B1000,$A3,'FC inventory'!$A$2:$A1000,Today()))-(SUMIFS('FC inventory'!Q$2:Q1000,'FC inventory'!$C$2:$C1000,"Out",'FC inventory'!$B$2:$B1000,$A3,'FC inventory'!$A$2:$A1000,Today()) - (SUMIFS('FC inventory'!Q$2:Q1000,'FC inventory'!$C$2:$C1000,"Retuned",'FC inventory'!$B$2:$B1000,$A3,'FC inventory'!$A$2:$A1000,Today()) - (SUMIFS('FC inventory'!Q$2:Q1000,'FC inventory'!$C$2:$C1000,"Spoilage",'FC inventory'!$B$2:$B1000,$A3,'FC inventory'!$A$2:$A1000,Today()))))</f>
        <v>11</v>
      </c>
      <c r="P3" s="29">
        <f>(SUMIFS('FC inventory'!R$2:R1000,'FC inventory'!$C$2:$C1000,"In",'FC inventory'!$B$2:$B1000,$A3,'FC inventory'!$A$2:$A1000,"&lt;"&amp;Today())-SUMIFS('FC inventory'!R$2:R1000,'FC inventory'!$C$2:$C1000,"Out",'FC inventory'!$B$2:$B1000,$A3,'FC inventory'!$A$2:$A1000,"&lt;"&amp;Today())+SUMIFS('FC inventory'!R$2:R1000,'FC inventory'!$C$2:$C1000,"Return",'FC inventory'!$B$2:$B1000,$A3,'FC inventory'!$A$2:$A1000,"&lt;"&amp;Today())-SUMIFS('FC inventory'!R$2:R1000,'FC inventory'!$C$2:$C1000,"Spoilage",'FC inventory'!$B$2:$B1000,$A3,'FC inventory'!$A$2:$A1000,"&lt;"&amp;today()))+ (SUMIFS('FC inventory'!R$2:R1000,'FC inventory'!$C$2:$C1000,"In",'FC inventory'!$B$2:$B1000,$A3,'FC inventory'!$A$2:$A1000,Today()))-(SUMIFS('FC inventory'!R$2:R1000,'FC inventory'!$C$2:$C1000,"Out",'FC inventory'!$B$2:$B1000,$A3,'FC inventory'!$A$2:$A1000,Today()) - (SUMIFS('FC inventory'!R$2:R1000,'FC inventory'!$C$2:$C1000,"Retuned",'FC inventory'!$B$2:$B1000,$A3,'FC inventory'!$A$2:$A1000,Today()) - (SUMIFS('FC inventory'!R$2:R1000,'FC inventory'!$C$2:$C1000,"Spoilage",'FC inventory'!$B$2:$B1000,$A3,'FC inventory'!$A$2:$A1000,Today()))))</f>
        <v>6</v>
      </c>
      <c r="Q3" s="29">
        <f>(SUMIFS('FC inventory'!S$2:S1000,'FC inventory'!$C$2:$C1000,"In",'FC inventory'!$B$2:$B1000,$A3,'FC inventory'!$A$2:$A1000,"&lt;"&amp;Today())-SUMIFS('FC inventory'!S$2:S1000,'FC inventory'!$C$2:$C1000,"Out",'FC inventory'!$B$2:$B1000,$A3,'FC inventory'!$A$2:$A1000,"&lt;"&amp;Today())+SUMIFS('FC inventory'!S$2:S1000,'FC inventory'!$C$2:$C1000,"Return",'FC inventory'!$B$2:$B1000,$A3,'FC inventory'!$A$2:$A1000,"&lt;"&amp;Today())-SUMIFS('FC inventory'!S$2:S1000,'FC inventory'!$C$2:$C1000,"Spoilage",'FC inventory'!$B$2:$B1000,$A3,'FC inventory'!$A$2:$A1000,"&lt;"&amp;today()))+ (SUMIFS('FC inventory'!S$2:S1000,'FC inventory'!$C$2:$C1000,"In",'FC inventory'!$B$2:$B1000,$A3,'FC inventory'!$A$2:$A1000,Today()))-(SUMIFS('FC inventory'!S$2:S1000,'FC inventory'!$C$2:$C1000,"Out",'FC inventory'!$B$2:$B1000,$A3,'FC inventory'!$A$2:$A1000,Today()) - (SUMIFS('FC inventory'!S$2:S1000,'FC inventory'!$C$2:$C1000,"Retuned",'FC inventory'!$B$2:$B1000,$A3,'FC inventory'!$A$2:$A1000,Today()) - (SUMIFS('FC inventory'!S$2:S1000,'FC inventory'!$C$2:$C1000,"Spoilage",'FC inventory'!$B$2:$B1000,$A3,'FC inventory'!$A$2:$A1000,Today()))))</f>
        <v>0</v>
      </c>
      <c r="R3" s="29">
        <f>(SUMIFS('FC inventory'!T$2:T1000,'FC inventory'!$C$2:$C1000,"In",'FC inventory'!$B$2:$B1000,$A3,'FC inventory'!$A$2:$A1000,"&lt;"&amp;Today())-SUMIFS('FC inventory'!T$2:T1000,'FC inventory'!$C$2:$C1000,"Out",'FC inventory'!$B$2:$B1000,$A3,'FC inventory'!$A$2:$A1000,"&lt;"&amp;Today())+SUMIFS('FC inventory'!T$2:T1000,'FC inventory'!$C$2:$C1000,"Return",'FC inventory'!$B$2:$B1000,$A3,'FC inventory'!$A$2:$A1000,"&lt;"&amp;Today())-SUMIFS('FC inventory'!T$2:T1000,'FC inventory'!$C$2:$C1000,"Spoilage",'FC inventory'!$B$2:$B1000,$A3,'FC inventory'!$A$2:$A1000,"&lt;"&amp;today()))+ (SUMIFS('FC inventory'!T$2:T1000,'FC inventory'!$C$2:$C1000,"In",'FC inventory'!$B$2:$B1000,$A3,'FC inventory'!$A$2:$A1000,Today()))-(SUMIFS('FC inventory'!T$2:T1000,'FC inventory'!$C$2:$C1000,"Out",'FC inventory'!$B$2:$B1000,$A3,'FC inventory'!$A$2:$A1000,Today()) - (SUMIFS('FC inventory'!T$2:T1000,'FC inventory'!$C$2:$C1000,"Retuned",'FC inventory'!$B$2:$B1000,$A3,'FC inventory'!$A$2:$A1000,Today()) - (SUMIFS('FC inventory'!T$2:T1000,'FC inventory'!$C$2:$C1000,"Spoilage",'FC inventory'!$B$2:$B1000,$A3,'FC inventory'!$A$2:$A1000,Today()))))</f>
        <v>0</v>
      </c>
      <c r="S3" s="29">
        <f>(SUMIFS('FC inventory'!U$2:U1000,'FC inventory'!$C$2:$C1000,"In",'FC inventory'!$B$2:$B1000,$A3,'FC inventory'!$A$2:$A1000,"&lt;"&amp;Today())-SUMIFS('FC inventory'!U$2:U1000,'FC inventory'!$C$2:$C1000,"Out",'FC inventory'!$B$2:$B1000,$A3,'FC inventory'!$A$2:$A1000,"&lt;"&amp;Today())+SUMIFS('FC inventory'!U$2:U1000,'FC inventory'!$C$2:$C1000,"Return",'FC inventory'!$B$2:$B1000,$A3,'FC inventory'!$A$2:$A1000,"&lt;"&amp;Today())-SUMIFS('FC inventory'!U$2:U1000,'FC inventory'!$C$2:$C1000,"Spoilage",'FC inventory'!$B$2:$B1000,$A3,'FC inventory'!$A$2:$A1000,"&lt;"&amp;today()))+ (SUMIFS('FC inventory'!U$2:U1000,'FC inventory'!$C$2:$C1000,"In",'FC inventory'!$B$2:$B1000,$A3,'FC inventory'!$A$2:$A1000,Today()))-(SUMIFS('FC inventory'!U$2:U1000,'FC inventory'!$C$2:$C1000,"Out",'FC inventory'!$B$2:$B1000,$A3,'FC inventory'!$A$2:$A1000,Today()) - (SUMIFS('FC inventory'!U$2:U1000,'FC inventory'!$C$2:$C1000,"Retuned",'FC inventory'!$B$2:$B1000,$A3,'FC inventory'!$A$2:$A1000,Today()) - (SUMIFS('FC inventory'!U$2:U1000,'FC inventory'!$C$2:$C1000,"Spoilage",'FC inventory'!$B$2:$B1000,$A3,'FC inventory'!$A$2:$A1000,Today()))))</f>
        <v>0</v>
      </c>
      <c r="T3" s="29">
        <f>(SUMIFS('FC inventory'!V$2:V1000,'FC inventory'!$C$2:$C1000,"In",'FC inventory'!$B$2:$B1000,$A3,'FC inventory'!$A$2:$A1000,"&lt;"&amp;Today())-SUMIFS('FC inventory'!V$2:V1000,'FC inventory'!$C$2:$C1000,"Out",'FC inventory'!$B$2:$B1000,$A3,'FC inventory'!$A$2:$A1000,"&lt;"&amp;Today())+SUMIFS('FC inventory'!V$2:V1000,'FC inventory'!$C$2:$C1000,"Return",'FC inventory'!$B$2:$B1000,$A3,'FC inventory'!$A$2:$A1000,"&lt;"&amp;Today())-SUMIFS('FC inventory'!V$2:V1000,'FC inventory'!$C$2:$C1000,"Spoilage",'FC inventory'!$B$2:$B1000,$A3,'FC inventory'!$A$2:$A1000,"&lt;"&amp;today()))+ (SUMIFS('FC inventory'!V$2:V1000,'FC inventory'!$C$2:$C1000,"In",'FC inventory'!$B$2:$B1000,$A3,'FC inventory'!$A$2:$A1000,Today()))-(SUMIFS('FC inventory'!V$2:V1000,'FC inventory'!$C$2:$C1000,"Out",'FC inventory'!$B$2:$B1000,$A3,'FC inventory'!$A$2:$A1000,Today()) - (SUMIFS('FC inventory'!V$2:V1000,'FC inventory'!$C$2:$C1000,"Retuned",'FC inventory'!$B$2:$B1000,$A3,'FC inventory'!$A$2:$A1000,Today()) - (SUMIFS('FC inventory'!V$2:V1000,'FC inventory'!$C$2:$C1000,"Spoilage",'FC inventory'!$B$2:$B1000,$A3,'FC inventory'!$A$2:$A1000,Today()))))</f>
        <v>0</v>
      </c>
      <c r="U3" s="29">
        <f>(SUMIFS('FC inventory'!W$2:W1000,'FC inventory'!$C$2:$C1000,"In",'FC inventory'!$B$2:$B1000,$A3,'FC inventory'!$A$2:$A1000,"&lt;"&amp;Today())-SUMIFS('FC inventory'!W$2:W1000,'FC inventory'!$C$2:$C1000,"Out",'FC inventory'!$B$2:$B1000,$A3,'FC inventory'!$A$2:$A1000,"&lt;"&amp;Today())+SUMIFS('FC inventory'!W$2:W1000,'FC inventory'!$C$2:$C1000,"Return",'FC inventory'!$B$2:$B1000,$A3,'FC inventory'!$A$2:$A1000,"&lt;"&amp;Today())-SUMIFS('FC inventory'!W$2:W1000,'FC inventory'!$C$2:$C1000,"Spoilage",'FC inventory'!$B$2:$B1000,$A3,'FC inventory'!$A$2:$A1000,"&lt;"&amp;today()))+ (SUMIFS('FC inventory'!W$2:W1000,'FC inventory'!$C$2:$C1000,"In",'FC inventory'!$B$2:$B1000,$A3,'FC inventory'!$A$2:$A1000,Today()))-(SUMIFS('FC inventory'!W$2:W1000,'FC inventory'!$C$2:$C1000,"Out",'FC inventory'!$B$2:$B1000,$A3,'FC inventory'!$A$2:$A1000,Today()) - (SUMIFS('FC inventory'!W$2:W1000,'FC inventory'!$C$2:$C1000,"Retuned",'FC inventory'!$B$2:$B1000,$A3,'FC inventory'!$A$2:$A1000,Today()) - (SUMIFS('FC inventory'!W$2:W1000,'FC inventory'!$C$2:$C1000,"Spoilage",'FC inventory'!$B$2:$B1000,$A3,'FC inventory'!$A$2:$A1000,Today()))))</f>
        <v>12</v>
      </c>
      <c r="V3" s="29">
        <f>(SUMIFS('FC inventory'!X$2:X1000,'FC inventory'!$C$2:$C1000,"In",'FC inventory'!$B$2:$B1000,$A3,'FC inventory'!$A$2:$A1000,"&lt;"&amp;Today())-SUMIFS('FC inventory'!X$2:X1000,'FC inventory'!$C$2:$C1000,"Out",'FC inventory'!$B$2:$B1000,$A3,'FC inventory'!$A$2:$A1000,"&lt;"&amp;Today())+SUMIFS('FC inventory'!X$2:X1000,'FC inventory'!$C$2:$C1000,"Return",'FC inventory'!$B$2:$B1000,$A3,'FC inventory'!$A$2:$A1000,"&lt;"&amp;Today())-SUMIFS('FC inventory'!X$2:X1000,'FC inventory'!$C$2:$C1000,"Spoilage",'FC inventory'!$B$2:$B1000,$A3,'FC inventory'!$A$2:$A1000,"&lt;"&amp;today()))+ (SUMIFS('FC inventory'!X$2:X1000,'FC inventory'!$C$2:$C1000,"In",'FC inventory'!$B$2:$B1000,$A3,'FC inventory'!$A$2:$A1000,Today()))-(SUMIFS('FC inventory'!X$2:X1000,'FC inventory'!$C$2:$C1000,"Out",'FC inventory'!$B$2:$B1000,$A3,'FC inventory'!$A$2:$A1000,Today()) - (SUMIFS('FC inventory'!X$2:X1000,'FC inventory'!$C$2:$C1000,"Retuned",'FC inventory'!$B$2:$B1000,$A3,'FC inventory'!$A$2:$A1000,Today()) - (SUMIFS('FC inventory'!X$2:X1000,'FC inventory'!$C$2:$C1000,"Spoilage",'FC inventory'!$B$2:$B1000,$A3,'FC inventory'!$A$2:$A1000,Today()))))</f>
        <v>0</v>
      </c>
      <c r="W3" s="29">
        <f>(SUMIFS('FC inventory'!Y$2:Y1000,'FC inventory'!$C$2:$C1000,"In",'FC inventory'!$B$2:$B1000,$A3,'FC inventory'!$A$2:$A1000,"&lt;"&amp;Today())-SUMIFS('FC inventory'!Y$2:Y1000,'FC inventory'!$C$2:$C1000,"Out",'FC inventory'!$B$2:$B1000,$A3,'FC inventory'!$A$2:$A1000,"&lt;"&amp;Today())+SUMIFS('FC inventory'!Y$2:Y1000,'FC inventory'!$C$2:$C1000,"Return",'FC inventory'!$B$2:$B1000,$A3,'FC inventory'!$A$2:$A1000,"&lt;"&amp;Today())-SUMIFS('FC inventory'!Y$2:Y1000,'FC inventory'!$C$2:$C1000,"Spoilage",'FC inventory'!$B$2:$B1000,$A3,'FC inventory'!$A$2:$A1000,"&lt;"&amp;today()))+ (SUMIFS('FC inventory'!Y$2:Y1000,'FC inventory'!$C$2:$C1000,"In",'FC inventory'!$B$2:$B1000,$A3,'FC inventory'!$A$2:$A1000,Today()))-(SUMIFS('FC inventory'!Y$2:Y1000,'FC inventory'!$C$2:$C1000,"Out",'FC inventory'!$B$2:$B1000,$A3,'FC inventory'!$A$2:$A1000,Today()) - (SUMIFS('FC inventory'!Y$2:Y1000,'FC inventory'!$C$2:$C1000,"Retuned",'FC inventory'!$B$2:$B1000,$A3,'FC inventory'!$A$2:$A1000,Today()) - (SUMIFS('FC inventory'!Y$2:Y1000,'FC inventory'!$C$2:$C1000,"Spoilage",'FC inventory'!$B$2:$B1000,$A3,'FC inventory'!$A$2:$A1000,Today()))))</f>
        <v>0</v>
      </c>
      <c r="X3" s="29">
        <f>(SUMIFS('FC inventory'!Z$2:Z1000,'FC inventory'!$C$2:$C1000,"In",'FC inventory'!$B$2:$B1000,$A3,'FC inventory'!$A$2:$A1000,"&lt;"&amp;Today())-SUMIFS('FC inventory'!Z$2:Z1000,'FC inventory'!$C$2:$C1000,"Out",'FC inventory'!$B$2:$B1000,$A3,'FC inventory'!$A$2:$A1000,"&lt;"&amp;Today())+SUMIFS('FC inventory'!Z$2:Z1000,'FC inventory'!$C$2:$C1000,"Return",'FC inventory'!$B$2:$B1000,$A3,'FC inventory'!$A$2:$A1000,"&lt;"&amp;Today())-SUMIFS('FC inventory'!Z$2:Z1000,'FC inventory'!$C$2:$C1000,"Spoilage",'FC inventory'!$B$2:$B1000,$A3,'FC inventory'!$A$2:$A1000,"&lt;"&amp;today()))+ (SUMIFS('FC inventory'!Z$2:Z1000,'FC inventory'!$C$2:$C1000,"In",'FC inventory'!$B$2:$B1000,$A3,'FC inventory'!$A$2:$A1000,Today()))-(SUMIFS('FC inventory'!Z$2:Z1000,'FC inventory'!$C$2:$C1000,"Out",'FC inventory'!$B$2:$B1000,$A3,'FC inventory'!$A$2:$A1000,Today()) - (SUMIFS('FC inventory'!Z$2:Z1000,'FC inventory'!$C$2:$C1000,"Retuned",'FC inventory'!$B$2:$B1000,$A3,'FC inventory'!$A$2:$A1000,Today()) - (SUMIFS('FC inventory'!Z$2:Z1000,'FC inventory'!$C$2:$C1000,"Spoilage",'FC inventory'!$B$2:$B1000,$A3,'FC inventory'!$A$2:$A1000,Today()))))</f>
        <v>0</v>
      </c>
      <c r="Y3" s="29">
        <f>(SUMIFS('FC inventory'!AA$2:AA1000,'FC inventory'!$C$2:$C1000,"In",'FC inventory'!$B$2:$B1000,$A3,'FC inventory'!$A$2:$A1000,"&lt;"&amp;Today())-SUMIFS('FC inventory'!AA$2:AA1000,'FC inventory'!$C$2:$C1000,"Out",'FC inventory'!$B$2:$B1000,$A3,'FC inventory'!$A$2:$A1000,"&lt;"&amp;Today())+SUMIFS('FC inventory'!AA$2:AA1000,'FC inventory'!$C$2:$C1000,"Return",'FC inventory'!$B$2:$B1000,$A3,'FC inventory'!$A$2:$A1000,"&lt;"&amp;Today())-SUMIFS('FC inventory'!AA$2:AA1000,'FC inventory'!$C$2:$C1000,"Spoilage",'FC inventory'!$B$2:$B1000,$A3,'FC inventory'!$A$2:$A1000,"&lt;"&amp;today()))+ (SUMIFS('FC inventory'!AA$2:AA1000,'FC inventory'!$C$2:$C1000,"In",'FC inventory'!$B$2:$B1000,$A3,'FC inventory'!$A$2:$A1000,Today()))-(SUMIFS('FC inventory'!AA$2:AA1000,'FC inventory'!$C$2:$C1000,"Out",'FC inventory'!$B$2:$B1000,$A3,'FC inventory'!$A$2:$A1000,Today()) - (SUMIFS('FC inventory'!AA$2:AA1000,'FC inventory'!$C$2:$C1000,"Retuned",'FC inventory'!$B$2:$B1000,$A3,'FC inventory'!$A$2:$A1000,Today()) - (SUMIFS('FC inventory'!AA$2:AA1000,'FC inventory'!$C$2:$C1000,"Spoilage",'FC inventory'!$B$2:$B1000,$A3,'FC inventory'!$A$2:$A1000,Today()))))</f>
        <v>1</v>
      </c>
      <c r="Z3" s="29">
        <f>(SUMIFS('FC inventory'!AB$2:AB1000,'FC inventory'!$C$2:$C1000,"In",'FC inventory'!$B$2:$B1000,$A3,'FC inventory'!$A$2:$A1000,"&lt;"&amp;Today())-SUMIFS('FC inventory'!AB$2:AB1000,'FC inventory'!$C$2:$C1000,"Out",'FC inventory'!$B$2:$B1000,$A3,'FC inventory'!$A$2:$A1000,"&lt;"&amp;Today())+SUMIFS('FC inventory'!AB$2:AB1000,'FC inventory'!$C$2:$C1000,"Return",'FC inventory'!$B$2:$B1000,$A3,'FC inventory'!$A$2:$A1000,"&lt;"&amp;Today())-SUMIFS('FC inventory'!AB$2:AB1000,'FC inventory'!$C$2:$C1000,"Spoilage",'FC inventory'!$B$2:$B1000,$A3,'FC inventory'!$A$2:$A1000,"&lt;"&amp;today()))+ (SUMIFS('FC inventory'!AB$2:AB1000,'FC inventory'!$C$2:$C1000,"In",'FC inventory'!$B$2:$B1000,$A3,'FC inventory'!$A$2:$A1000,Today()))-(SUMIFS('FC inventory'!AB$2:AB1000,'FC inventory'!$C$2:$C1000,"Out",'FC inventory'!$B$2:$B1000,$A3,'FC inventory'!$A$2:$A1000,Today()) - (SUMIFS('FC inventory'!AB$2:AB1000,'FC inventory'!$C$2:$C1000,"Retuned",'FC inventory'!$B$2:$B1000,$A3,'FC inventory'!$A$2:$A1000,Today()) - (SUMIFS('FC inventory'!AB$2:AB1000,'FC inventory'!$C$2:$C1000,"Spoilage",'FC inventory'!$B$2:$B1000,$A3,'FC inventory'!$A$2:$A1000,Today()))))</f>
        <v>2</v>
      </c>
      <c r="AA3" s="29">
        <f>(SUMIFS('FC inventory'!AC$2:AC1000,'FC inventory'!$C$2:$C1000,"In",'FC inventory'!$B$2:$B1000,$A3,'FC inventory'!$A$2:$A1000,"&lt;"&amp;Today())-SUMIFS('FC inventory'!AC$2:AC1000,'FC inventory'!$C$2:$C1000,"Out",'FC inventory'!$B$2:$B1000,$A3,'FC inventory'!$A$2:$A1000,"&lt;"&amp;Today())+SUMIFS('FC inventory'!AC$2:AC1000,'FC inventory'!$C$2:$C1000,"Return",'FC inventory'!$B$2:$B1000,$A3,'FC inventory'!$A$2:$A1000,"&lt;"&amp;Today())-SUMIFS('FC inventory'!AC$2:AC1000,'FC inventory'!$C$2:$C1000,"Spoilage",'FC inventory'!$B$2:$B1000,$A3,'FC inventory'!$A$2:$A1000,"&lt;"&amp;today()))+ (SUMIFS('FC inventory'!AC$2:AC1000,'FC inventory'!$C$2:$C1000,"In",'FC inventory'!$B$2:$B1000,$A3,'FC inventory'!$A$2:$A1000,Today()))-(SUMIFS('FC inventory'!AC$2:AC1000,'FC inventory'!$C$2:$C1000,"Out",'FC inventory'!$B$2:$B1000,$A3,'FC inventory'!$A$2:$A1000,Today()) - (SUMIFS('FC inventory'!AC$2:AC1000,'FC inventory'!$C$2:$C1000,"Retuned",'FC inventory'!$B$2:$B1000,$A3,'FC inventory'!$A$2:$A1000,Today()) - (SUMIFS('FC inventory'!AC$2:AC1000,'FC inventory'!$C$2:$C1000,"Spoilage",'FC inventory'!$B$2:$B1000,$A3,'FC inventory'!$A$2:$A1000,Today()))))</f>
        <v>0</v>
      </c>
      <c r="AB3" s="29">
        <f>(SUMIFS('FC inventory'!AD$2:AD1000,'FC inventory'!$C$2:$C1000,"In",'FC inventory'!$B$2:$B1000,$A3,'FC inventory'!$A$2:$A1000,"&lt;"&amp;Today())-SUMIFS('FC inventory'!AD$2:AD1000,'FC inventory'!$C$2:$C1000,"Out",'FC inventory'!$B$2:$B1000,$A3,'FC inventory'!$A$2:$A1000,"&lt;"&amp;Today())+SUMIFS('FC inventory'!AD$2:AD1000,'FC inventory'!$C$2:$C1000,"Return",'FC inventory'!$B$2:$B1000,$A3,'FC inventory'!$A$2:$A1000,"&lt;"&amp;Today())-SUMIFS('FC inventory'!AD$2:AD1000,'FC inventory'!$C$2:$C1000,"Spoilage",'FC inventory'!$B$2:$B1000,$A3,'FC inventory'!$A$2:$A1000,"&lt;"&amp;today()))+ (SUMIFS('FC inventory'!AD$2:AD1000,'FC inventory'!$C$2:$C1000,"In",'FC inventory'!$B$2:$B1000,$A3,'FC inventory'!$A$2:$A1000,Today()))-(SUMIFS('FC inventory'!AD$2:AD1000,'FC inventory'!$C$2:$C1000,"Out",'FC inventory'!$B$2:$B1000,$A3,'FC inventory'!$A$2:$A1000,Today()) - (SUMIFS('FC inventory'!AD$2:AD1000,'FC inventory'!$C$2:$C1000,"Retuned",'FC inventory'!$B$2:$B1000,$A3,'FC inventory'!$A$2:$A1000,Today()) - (SUMIFS('FC inventory'!AD$2:AD1000,'FC inventory'!$C$2:$C1000,"Spoilage",'FC inventory'!$B$2:$B1000,$A3,'FC inventory'!$A$2:$A1000,Today()))))</f>
        <v>0</v>
      </c>
      <c r="AC3" s="29">
        <f>(SUMIFS('FC inventory'!AE$2:AE1000,'FC inventory'!$C$2:$C1000,"In",'FC inventory'!$B$2:$B1000,$A3,'FC inventory'!$A$2:$A1000,"&lt;"&amp;Today())-SUMIFS('FC inventory'!AE$2:AE1000,'FC inventory'!$C$2:$C1000,"Out",'FC inventory'!$B$2:$B1000,$A3,'FC inventory'!$A$2:$A1000,"&lt;"&amp;Today())+SUMIFS('FC inventory'!AE$2:AE1000,'FC inventory'!$C$2:$C1000,"Return",'FC inventory'!$B$2:$B1000,$A3,'FC inventory'!$A$2:$A1000,"&lt;"&amp;Today())-SUMIFS('FC inventory'!AE$2:AE1000,'FC inventory'!$C$2:$C1000,"Spoilage",'FC inventory'!$B$2:$B1000,$A3,'FC inventory'!$A$2:$A1000,"&lt;"&amp;today()))+ (SUMIFS('FC inventory'!AE$2:AE1000,'FC inventory'!$C$2:$C1000,"In",'FC inventory'!$B$2:$B1000,$A3,'FC inventory'!$A$2:$A1000,Today()))-(SUMIFS('FC inventory'!AE$2:AE1000,'FC inventory'!$C$2:$C1000,"Out",'FC inventory'!$B$2:$B1000,$A3,'FC inventory'!$A$2:$A1000,Today()) - (SUMIFS('FC inventory'!AE$2:AE1000,'FC inventory'!$C$2:$C1000,"Retuned",'FC inventory'!$B$2:$B1000,$A3,'FC inventory'!$A$2:$A1000,Today()) - (SUMIFS('FC inventory'!AE$2:AE1000,'FC inventory'!$C$2:$C1000,"Spoilage",'FC inventory'!$B$2:$B1000,$A3,'FC inventory'!$A$2:$A1000,Today()))))</f>
        <v>0</v>
      </c>
      <c r="AD3" s="29">
        <f>(SUMIFS('FC inventory'!AF$2:AF1000,'FC inventory'!$C$2:$C1000,"In",'FC inventory'!$B$2:$B1000,$A3,'FC inventory'!$A$2:$A1000,"&lt;"&amp;Today())-SUMIFS('FC inventory'!AF$2:AF1000,'FC inventory'!$C$2:$C1000,"Out",'FC inventory'!$B$2:$B1000,$A3,'FC inventory'!$A$2:$A1000,"&lt;"&amp;Today())+SUMIFS('FC inventory'!AF$2:AF1000,'FC inventory'!$C$2:$C1000,"Return",'FC inventory'!$B$2:$B1000,$A3,'FC inventory'!$A$2:$A1000,"&lt;"&amp;Today())-SUMIFS('FC inventory'!AF$2:AF1000,'FC inventory'!$C$2:$C1000,"Spoilage",'FC inventory'!$B$2:$B1000,$A3,'FC inventory'!$A$2:$A1000,"&lt;"&amp;today()))+ (SUMIFS('FC inventory'!AF$2:AF1000,'FC inventory'!$C$2:$C1000,"In",'FC inventory'!$B$2:$B1000,$A3,'FC inventory'!$A$2:$A1000,Today()))-(SUMIFS('FC inventory'!AF$2:AF1000,'FC inventory'!$C$2:$C1000,"Out",'FC inventory'!$B$2:$B1000,$A3,'FC inventory'!$A$2:$A1000,Today()) - (SUMIFS('FC inventory'!AF$2:AF1000,'FC inventory'!$C$2:$C1000,"Retuned",'FC inventory'!$B$2:$B1000,$A3,'FC inventory'!$A$2:$A1000,Today()) - (SUMIFS('FC inventory'!AF$2:AF1000,'FC inventory'!$C$2:$C1000,"Spoilage",'FC inventory'!$B$2:$B1000,$A3,'FC inventory'!$A$2:$A1000,Today()))))</f>
        <v>0</v>
      </c>
      <c r="AE3" s="29">
        <f>(SUMIFS('FC inventory'!AG$2:AG1000,'FC inventory'!$C$2:$C1000,"In",'FC inventory'!$B$2:$B1000,$A3,'FC inventory'!$A$2:$A1000,"&lt;"&amp;Today())-SUMIFS('FC inventory'!AG$2:AG1000,'FC inventory'!$C$2:$C1000,"Out",'FC inventory'!$B$2:$B1000,$A3,'FC inventory'!$A$2:$A1000,"&lt;"&amp;Today())+SUMIFS('FC inventory'!AG$2:AG1000,'FC inventory'!$C$2:$C1000,"Return",'FC inventory'!$B$2:$B1000,$A3,'FC inventory'!$A$2:$A1000,"&lt;"&amp;Today())-SUMIFS('FC inventory'!AG$2:AG1000,'FC inventory'!$C$2:$C1000,"Spoilage",'FC inventory'!$B$2:$B1000,$A3,'FC inventory'!$A$2:$A1000,"&lt;"&amp;today()))+ (SUMIFS('FC inventory'!AG$2:AG1000,'FC inventory'!$C$2:$C1000,"In",'FC inventory'!$B$2:$B1000,$A3,'FC inventory'!$A$2:$A1000,Today()))-(SUMIFS('FC inventory'!AG$2:AG1000,'FC inventory'!$C$2:$C1000,"Out",'FC inventory'!$B$2:$B1000,$A3,'FC inventory'!$A$2:$A1000,Today()) - (SUMIFS('FC inventory'!AG$2:AG1000,'FC inventory'!$C$2:$C1000,"Retuned",'FC inventory'!$B$2:$B1000,$A3,'FC inventory'!$A$2:$A1000,Today()) - (SUMIFS('FC inventory'!AG$2:AG1000,'FC inventory'!$C$2:$C1000,"Spoilage",'FC inventory'!$B$2:$B1000,$A3,'FC inventory'!$A$2:$A1000,Today()))))</f>
        <v>0</v>
      </c>
      <c r="AF3" s="29">
        <f>(SUMIFS('FC inventory'!AH$2:AH1000,'FC inventory'!$C$2:$C1000,"In",'FC inventory'!$B$2:$B1000,$A3,'FC inventory'!$A$2:$A1000,"&lt;"&amp;Today())-SUMIFS('FC inventory'!AH$2:AH1000,'FC inventory'!$C$2:$C1000,"Out",'FC inventory'!$B$2:$B1000,$A3,'FC inventory'!$A$2:$A1000,"&lt;"&amp;Today())+SUMIFS('FC inventory'!AH$2:AH1000,'FC inventory'!$C$2:$C1000,"Return",'FC inventory'!$B$2:$B1000,$A3,'FC inventory'!$A$2:$A1000,"&lt;"&amp;Today())-SUMIFS('FC inventory'!AH$2:AH1000,'FC inventory'!$C$2:$C1000,"Spoilage",'FC inventory'!$B$2:$B1000,$A3,'FC inventory'!$A$2:$A1000,"&lt;"&amp;today()))+ (SUMIFS('FC inventory'!AH$2:AH1000,'FC inventory'!$C$2:$C1000,"In",'FC inventory'!$B$2:$B1000,$A3,'FC inventory'!$A$2:$A1000,Today()))-(SUMIFS('FC inventory'!AH$2:AH1000,'FC inventory'!$C$2:$C1000,"Out",'FC inventory'!$B$2:$B1000,$A3,'FC inventory'!$A$2:$A1000,Today()) - (SUMIFS('FC inventory'!AH$2:AH1000,'FC inventory'!$C$2:$C1000,"Retuned",'FC inventory'!$B$2:$B1000,$A3,'FC inventory'!$A$2:$A1000,Today()) - (SUMIFS('FC inventory'!AH$2:AH1000,'FC inventory'!$C$2:$C1000,"Spoilage",'FC inventory'!$B$2:$B1000,$A3,'FC inventory'!$A$2:$A1000,Today()))))</f>
        <v>0</v>
      </c>
    </row>
    <row r="4">
      <c r="A4" s="28" t="s">
        <v>34</v>
      </c>
      <c r="B4" s="29">
        <f>(SUMIFS('FC inventory'!D$2:D1000,'FC inventory'!$C$2:$C1000,"In",'FC inventory'!$B$2:$B1000,$A4,'FC inventory'!$A$2:$A1000,"&lt;"&amp;Today())-SUMIFS('FC inventory'!D$2:D1000,'FC inventory'!$C$2:$C1000,"Out",'FC inventory'!$B$2:$B1000,$A4,'FC inventory'!$A$2:$A1000,"&lt;"&amp;Today())+SUMIFS('FC inventory'!D$2:D1000,'FC inventory'!$C$2:$C1000,"Return",'FC inventory'!$B$2:$B1000,$A4,'FC inventory'!$A$2:$A1000,"&lt;"&amp;Today())-SUMIFS('FC inventory'!D$2:D1000,'FC inventory'!$C$2:$C1000,"Spoilage",'FC inventory'!$B$2:$B1000,$A4,'FC inventory'!$A$2:$A1000,"&lt;"&amp;today()))+ (SUMIFS('FC inventory'!D$2:D1000,'FC inventory'!$C$2:$C1000,"In",'FC inventory'!$B$2:$B1000,$A4,'FC inventory'!$A$2:$A1000,Today()))-(SUMIFS('FC inventory'!D$2:D1000,'FC inventory'!$C$2:$C1000,"Out",'FC inventory'!$B$2:$B1000,$A4,'FC inventory'!$A$2:$A1000,Today()) - (SUMIFS('FC inventory'!D$2:D1000,'FC inventory'!$C$2:$C1000,"Retuned",'FC inventory'!$B$2:$B1000,$A4,'FC inventory'!$A$2:$A1000,Today()) - (SUMIFS('FC inventory'!D$2:D1000,'FC inventory'!$C$2:$C1000,"Spoilage",'FC inventory'!$B$2:$B1000,$A4,'FC inventory'!$A$2:$A1000,Today()))))</f>
        <v>-2</v>
      </c>
      <c r="C4" s="29">
        <f>(SUMIFS('FC inventory'!E$2:E1000,'FC inventory'!$C$2:$C1000,"In",'FC inventory'!$B$2:$B1000,$A4,'FC inventory'!$A$2:$A1000,"&lt;"&amp;Today())-SUMIFS('FC inventory'!E$2:E1000,'FC inventory'!$C$2:$C1000,"Out",'FC inventory'!$B$2:$B1000,$A4,'FC inventory'!$A$2:$A1000,"&lt;"&amp;Today())+SUMIFS('FC inventory'!E$2:E1000,'FC inventory'!$C$2:$C1000,"Return",'FC inventory'!$B$2:$B1000,$A4,'FC inventory'!$A$2:$A1000,"&lt;"&amp;Today())-SUMIFS('FC inventory'!E$2:E1000,'FC inventory'!$C$2:$C1000,"Spoilage",'FC inventory'!$B$2:$B1000,$A4,'FC inventory'!$A$2:$A1000,"&lt;"&amp;today()))+ (SUMIFS('FC inventory'!E$2:E1000,'FC inventory'!$C$2:$C1000,"In",'FC inventory'!$B$2:$B1000,$A4,'FC inventory'!$A$2:$A1000,Today()))-(SUMIFS('FC inventory'!E$2:E1000,'FC inventory'!$C$2:$C1000,"Out",'FC inventory'!$B$2:$B1000,$A4,'FC inventory'!$A$2:$A1000,Today()) - (SUMIFS('FC inventory'!E$2:E1000,'FC inventory'!$C$2:$C1000,"Retuned",'FC inventory'!$B$2:$B1000,$A4,'FC inventory'!$A$2:$A1000,Today()) - (SUMIFS('FC inventory'!E$2:E1000,'FC inventory'!$C$2:$C1000,"Spoilage",'FC inventory'!$B$2:$B1000,$A4,'FC inventory'!$A$2:$A1000,Today()))))</f>
        <v>0</v>
      </c>
      <c r="D4" s="29">
        <f>(SUMIFS('FC inventory'!F$2:F1000,'FC inventory'!$C$2:$C1000,"In",'FC inventory'!$B$2:$B1000,$A4,'FC inventory'!$A$2:$A1000,"&lt;"&amp;Today())-SUMIFS('FC inventory'!F$2:F1000,'FC inventory'!$C$2:$C1000,"Out",'FC inventory'!$B$2:$B1000,$A4,'FC inventory'!$A$2:$A1000,"&lt;"&amp;Today())+SUMIFS('FC inventory'!F$2:F1000,'FC inventory'!$C$2:$C1000,"Return",'FC inventory'!$B$2:$B1000,$A4,'FC inventory'!$A$2:$A1000,"&lt;"&amp;Today())-SUMIFS('FC inventory'!F$2:F1000,'FC inventory'!$C$2:$C1000,"Spoilage",'FC inventory'!$B$2:$B1000,$A4,'FC inventory'!$A$2:$A1000,"&lt;"&amp;today()))+ (SUMIFS('FC inventory'!F$2:F1000,'FC inventory'!$C$2:$C1000,"In",'FC inventory'!$B$2:$B1000,$A4,'FC inventory'!$A$2:$A1000,Today()))-(SUMIFS('FC inventory'!F$2:F1000,'FC inventory'!$C$2:$C1000,"Out",'FC inventory'!$B$2:$B1000,$A4,'FC inventory'!$A$2:$A1000,Today()) - (SUMIFS('FC inventory'!F$2:F1000,'FC inventory'!$C$2:$C1000,"Retuned",'FC inventory'!$B$2:$B1000,$A4,'FC inventory'!$A$2:$A1000,Today()) - (SUMIFS('FC inventory'!F$2:F1000,'FC inventory'!$C$2:$C1000,"Spoilage",'FC inventory'!$B$2:$B1000,$A4,'FC inventory'!$A$2:$A1000,Today()))))</f>
        <v>0</v>
      </c>
      <c r="E4" s="29">
        <f>(SUMIFS('FC inventory'!G$2:G1000,'FC inventory'!$C$2:$C1000,"In",'FC inventory'!$B$2:$B1000,$A4,'FC inventory'!$A$2:$A1000,"&lt;"&amp;Today())-SUMIFS('FC inventory'!G$2:G1000,'FC inventory'!$C$2:$C1000,"Out",'FC inventory'!$B$2:$B1000,$A4,'FC inventory'!$A$2:$A1000,"&lt;"&amp;Today())+SUMIFS('FC inventory'!G$2:G1000,'FC inventory'!$C$2:$C1000,"Return",'FC inventory'!$B$2:$B1000,$A4,'FC inventory'!$A$2:$A1000,"&lt;"&amp;Today())-SUMIFS('FC inventory'!G$2:G1000,'FC inventory'!$C$2:$C1000,"Spoilage",'FC inventory'!$B$2:$B1000,$A4,'FC inventory'!$A$2:$A1000,"&lt;"&amp;today()))+ (SUMIFS('FC inventory'!G$2:G1000,'FC inventory'!$C$2:$C1000,"In",'FC inventory'!$B$2:$B1000,$A4,'FC inventory'!$A$2:$A1000,Today()))-(SUMIFS('FC inventory'!G$2:G1000,'FC inventory'!$C$2:$C1000,"Out",'FC inventory'!$B$2:$B1000,$A4,'FC inventory'!$A$2:$A1000,Today()) - (SUMIFS('FC inventory'!G$2:G1000,'FC inventory'!$C$2:$C1000,"Retuned",'FC inventory'!$B$2:$B1000,$A4,'FC inventory'!$A$2:$A1000,Today()) - (SUMIFS('FC inventory'!G$2:G1000,'FC inventory'!$C$2:$C1000,"Spoilage",'FC inventory'!$B$2:$B1000,$A4,'FC inventory'!$A$2:$A1000,Today()))))</f>
        <v>-1</v>
      </c>
      <c r="F4" s="29">
        <f>(SUMIFS('FC inventory'!H$2:H1000,'FC inventory'!$C$2:$C1000,"In",'FC inventory'!$B$2:$B1000,$A4,'FC inventory'!$A$2:$A1000,"&lt;"&amp;Today())-SUMIFS('FC inventory'!H$2:H1000,'FC inventory'!$C$2:$C1000,"Out",'FC inventory'!$B$2:$B1000,$A4,'FC inventory'!$A$2:$A1000,"&lt;"&amp;Today())+SUMIFS('FC inventory'!H$2:H1000,'FC inventory'!$C$2:$C1000,"Return",'FC inventory'!$B$2:$B1000,$A4,'FC inventory'!$A$2:$A1000,"&lt;"&amp;Today())-SUMIFS('FC inventory'!H$2:H1000,'FC inventory'!$C$2:$C1000,"Spoilage",'FC inventory'!$B$2:$B1000,$A4,'FC inventory'!$A$2:$A1000,"&lt;"&amp;today()))+ (SUMIFS('FC inventory'!H$2:H1000,'FC inventory'!$C$2:$C1000,"In",'FC inventory'!$B$2:$B1000,$A4,'FC inventory'!$A$2:$A1000,Today()))-(SUMIFS('FC inventory'!H$2:H1000,'FC inventory'!$C$2:$C1000,"Out",'FC inventory'!$B$2:$B1000,$A4,'FC inventory'!$A$2:$A1000,Today()) - (SUMIFS('FC inventory'!H$2:H1000,'FC inventory'!$C$2:$C1000,"Retuned",'FC inventory'!$B$2:$B1000,$A4,'FC inventory'!$A$2:$A1000,Today()) - (SUMIFS('FC inventory'!H$2:H1000,'FC inventory'!$C$2:$C1000,"Spoilage",'FC inventory'!$B$2:$B1000,$A4,'FC inventory'!$A$2:$A1000,Today()))))</f>
        <v>0</v>
      </c>
      <c r="G4" s="29">
        <f>(SUMIFS('FC inventory'!I$2:I1000,'FC inventory'!$C$2:$C1000,"In",'FC inventory'!$B$2:$B1000,$A4,'FC inventory'!$A$2:$A1000,"&lt;"&amp;Today())-SUMIFS('FC inventory'!I$2:I1000,'FC inventory'!$C$2:$C1000,"Out",'FC inventory'!$B$2:$B1000,$A4,'FC inventory'!$A$2:$A1000,"&lt;"&amp;Today())+SUMIFS('FC inventory'!I$2:I1000,'FC inventory'!$C$2:$C1000,"Return",'FC inventory'!$B$2:$B1000,$A4,'FC inventory'!$A$2:$A1000,"&lt;"&amp;Today())-SUMIFS('FC inventory'!I$2:I1000,'FC inventory'!$C$2:$C1000,"Spoilage",'FC inventory'!$B$2:$B1000,$A4,'FC inventory'!$A$2:$A1000,"&lt;"&amp;today()))+ (SUMIFS('FC inventory'!I$2:I1000,'FC inventory'!$C$2:$C1000,"In",'FC inventory'!$B$2:$B1000,$A4,'FC inventory'!$A$2:$A1000,Today()))-(SUMIFS('FC inventory'!I$2:I1000,'FC inventory'!$C$2:$C1000,"Out",'FC inventory'!$B$2:$B1000,$A4,'FC inventory'!$A$2:$A1000,Today()) - (SUMIFS('FC inventory'!I$2:I1000,'FC inventory'!$C$2:$C1000,"Retuned",'FC inventory'!$B$2:$B1000,$A4,'FC inventory'!$A$2:$A1000,Today()) - (SUMIFS('FC inventory'!I$2:I1000,'FC inventory'!$C$2:$C1000,"Spoilage",'FC inventory'!$B$2:$B1000,$A4,'FC inventory'!$A$2:$A1000,Today()))))</f>
        <v>35</v>
      </c>
      <c r="H4" s="29">
        <f>(SUMIFS('FC inventory'!J$2:J1000,'FC inventory'!$C$2:$C1000,"In",'FC inventory'!$B$2:$B1000,$A4,'FC inventory'!$A$2:$A1000,"&lt;"&amp;Today())-SUMIFS('FC inventory'!J$2:J1000,'FC inventory'!$C$2:$C1000,"Out",'FC inventory'!$B$2:$B1000,$A4,'FC inventory'!$A$2:$A1000,"&lt;"&amp;Today())+SUMIFS('FC inventory'!J$2:J1000,'FC inventory'!$C$2:$C1000,"Return",'FC inventory'!$B$2:$B1000,$A4,'FC inventory'!$A$2:$A1000,"&lt;"&amp;Today())-SUMIFS('FC inventory'!J$2:J1000,'FC inventory'!$C$2:$C1000,"Spoilage",'FC inventory'!$B$2:$B1000,$A4,'FC inventory'!$A$2:$A1000,"&lt;"&amp;today()))+ (SUMIFS('FC inventory'!J$2:J1000,'FC inventory'!$C$2:$C1000,"In",'FC inventory'!$B$2:$B1000,$A4,'FC inventory'!$A$2:$A1000,Today()))-(SUMIFS('FC inventory'!J$2:J1000,'FC inventory'!$C$2:$C1000,"Out",'FC inventory'!$B$2:$B1000,$A4,'FC inventory'!$A$2:$A1000,Today()) - (SUMIFS('FC inventory'!J$2:J1000,'FC inventory'!$C$2:$C1000,"Retuned",'FC inventory'!$B$2:$B1000,$A4,'FC inventory'!$A$2:$A1000,Today()) - (SUMIFS('FC inventory'!J$2:J1000,'FC inventory'!$C$2:$C1000,"Spoilage",'FC inventory'!$B$2:$B1000,$A4,'FC inventory'!$A$2:$A1000,Today()))))</f>
        <v>0</v>
      </c>
      <c r="I4" s="29">
        <f>(SUMIFS('FC inventory'!K$2:K1000,'FC inventory'!$C$2:$C1000,"In",'FC inventory'!$B$2:$B1000,$A4,'FC inventory'!$A$2:$A1000,"&lt;"&amp;Today())-SUMIFS('FC inventory'!K$2:K1000,'FC inventory'!$C$2:$C1000,"Out",'FC inventory'!$B$2:$B1000,$A4,'FC inventory'!$A$2:$A1000,"&lt;"&amp;Today())+SUMIFS('FC inventory'!K$2:K1000,'FC inventory'!$C$2:$C1000,"Return",'FC inventory'!$B$2:$B1000,$A4,'FC inventory'!$A$2:$A1000,"&lt;"&amp;Today())-SUMIFS('FC inventory'!K$2:K1000,'FC inventory'!$C$2:$C1000,"Spoilage",'FC inventory'!$B$2:$B1000,$A4,'FC inventory'!$A$2:$A1000,"&lt;"&amp;today()))+ (SUMIFS('FC inventory'!K$2:K1000,'FC inventory'!$C$2:$C1000,"In",'FC inventory'!$B$2:$B1000,$A4,'FC inventory'!$A$2:$A1000,Today()))-(SUMIFS('FC inventory'!K$2:K1000,'FC inventory'!$C$2:$C1000,"Out",'FC inventory'!$B$2:$B1000,$A4,'FC inventory'!$A$2:$A1000,Today()) - (SUMIFS('FC inventory'!K$2:K1000,'FC inventory'!$C$2:$C1000,"Retuned",'FC inventory'!$B$2:$B1000,$A4,'FC inventory'!$A$2:$A1000,Today()) - (SUMIFS('FC inventory'!K$2:K1000,'FC inventory'!$C$2:$C1000,"Spoilage",'FC inventory'!$B$2:$B1000,$A4,'FC inventory'!$A$2:$A1000,Today()))))</f>
        <v>0</v>
      </c>
      <c r="J4" s="29">
        <f>(SUMIFS('FC inventory'!L$2:L1000,'FC inventory'!$C$2:$C1000,"In",'FC inventory'!$B$2:$B1000,$A4,'FC inventory'!$A$2:$A1000,"&lt;"&amp;Today())-SUMIFS('FC inventory'!L$2:L1000,'FC inventory'!$C$2:$C1000,"Out",'FC inventory'!$B$2:$B1000,$A4,'FC inventory'!$A$2:$A1000,"&lt;"&amp;Today())+SUMIFS('FC inventory'!L$2:L1000,'FC inventory'!$C$2:$C1000,"Return",'FC inventory'!$B$2:$B1000,$A4,'FC inventory'!$A$2:$A1000,"&lt;"&amp;Today())-SUMIFS('FC inventory'!L$2:L1000,'FC inventory'!$C$2:$C1000,"Spoilage",'FC inventory'!$B$2:$B1000,$A4,'FC inventory'!$A$2:$A1000,"&lt;"&amp;today()))+ (SUMIFS('FC inventory'!L$2:L1000,'FC inventory'!$C$2:$C1000,"In",'FC inventory'!$B$2:$B1000,$A4,'FC inventory'!$A$2:$A1000,Today()))-(SUMIFS('FC inventory'!L$2:L1000,'FC inventory'!$C$2:$C1000,"Out",'FC inventory'!$B$2:$B1000,$A4,'FC inventory'!$A$2:$A1000,Today()) - (SUMIFS('FC inventory'!L$2:L1000,'FC inventory'!$C$2:$C1000,"Retuned",'FC inventory'!$B$2:$B1000,$A4,'FC inventory'!$A$2:$A1000,Today()) - (SUMIFS('FC inventory'!L$2:L1000,'FC inventory'!$C$2:$C1000,"Spoilage",'FC inventory'!$B$2:$B1000,$A4,'FC inventory'!$A$2:$A1000,Today()))))</f>
        <v>0</v>
      </c>
      <c r="K4" s="29">
        <f>(SUMIFS('FC inventory'!M$2:M1000,'FC inventory'!$C$2:$C1000,"In",'FC inventory'!$B$2:$B1000,$A4,'FC inventory'!$A$2:$A1000,"&lt;"&amp;Today())-SUMIFS('FC inventory'!M$2:M1000,'FC inventory'!$C$2:$C1000,"Out",'FC inventory'!$B$2:$B1000,$A4,'FC inventory'!$A$2:$A1000,"&lt;"&amp;Today())+SUMIFS('FC inventory'!M$2:M1000,'FC inventory'!$C$2:$C1000,"Return",'FC inventory'!$B$2:$B1000,$A4,'FC inventory'!$A$2:$A1000,"&lt;"&amp;Today())-SUMIFS('FC inventory'!M$2:M1000,'FC inventory'!$C$2:$C1000,"Spoilage",'FC inventory'!$B$2:$B1000,$A4,'FC inventory'!$A$2:$A1000,"&lt;"&amp;today()))+ (SUMIFS('FC inventory'!M$2:M1000,'FC inventory'!$C$2:$C1000,"In",'FC inventory'!$B$2:$B1000,$A4,'FC inventory'!$A$2:$A1000,Today()))-(SUMIFS('FC inventory'!M$2:M1000,'FC inventory'!$C$2:$C1000,"Out",'FC inventory'!$B$2:$B1000,$A4,'FC inventory'!$A$2:$A1000,Today()) - (SUMIFS('FC inventory'!M$2:M1000,'FC inventory'!$C$2:$C1000,"Retuned",'FC inventory'!$B$2:$B1000,$A4,'FC inventory'!$A$2:$A1000,Today()) - (SUMIFS('FC inventory'!M$2:M1000,'FC inventory'!$C$2:$C1000,"Spoilage",'FC inventory'!$B$2:$B1000,$A4,'FC inventory'!$A$2:$A1000,Today()))))</f>
        <v>0</v>
      </c>
      <c r="L4" s="29">
        <f>(SUMIFS('FC inventory'!N$2:N1000,'FC inventory'!$C$2:$C1000,"In",'FC inventory'!$B$2:$B1000,$A4,'FC inventory'!$A$2:$A1000,"&lt;"&amp;Today())-SUMIFS('FC inventory'!N$2:N1000,'FC inventory'!$C$2:$C1000,"Out",'FC inventory'!$B$2:$B1000,$A4,'FC inventory'!$A$2:$A1000,"&lt;"&amp;Today())+SUMIFS('FC inventory'!N$2:N1000,'FC inventory'!$C$2:$C1000,"Return",'FC inventory'!$B$2:$B1000,$A4,'FC inventory'!$A$2:$A1000,"&lt;"&amp;Today())-SUMIFS('FC inventory'!N$2:N1000,'FC inventory'!$C$2:$C1000,"Spoilage",'FC inventory'!$B$2:$B1000,$A4,'FC inventory'!$A$2:$A1000,"&lt;"&amp;today()))+ (SUMIFS('FC inventory'!N$2:N1000,'FC inventory'!$C$2:$C1000,"In",'FC inventory'!$B$2:$B1000,$A4,'FC inventory'!$A$2:$A1000,Today()))-(SUMIFS('FC inventory'!N$2:N1000,'FC inventory'!$C$2:$C1000,"Out",'FC inventory'!$B$2:$B1000,$A4,'FC inventory'!$A$2:$A1000,Today()) - (SUMIFS('FC inventory'!N$2:N1000,'FC inventory'!$C$2:$C1000,"Retuned",'FC inventory'!$B$2:$B1000,$A4,'FC inventory'!$A$2:$A1000,Today()) - (SUMIFS('FC inventory'!N$2:N1000,'FC inventory'!$C$2:$C1000,"Spoilage",'FC inventory'!$B$2:$B1000,$A4,'FC inventory'!$A$2:$A1000,Today()))))</f>
        <v>0</v>
      </c>
      <c r="M4" s="29">
        <f>(SUMIFS('FC inventory'!O$2:O1000,'FC inventory'!$C$2:$C1000,"In",'FC inventory'!$B$2:$B1000,$A4,'FC inventory'!$A$2:$A1000,"&lt;"&amp;Today())-SUMIFS('FC inventory'!O$2:O1000,'FC inventory'!$C$2:$C1000,"Out",'FC inventory'!$B$2:$B1000,$A4,'FC inventory'!$A$2:$A1000,"&lt;"&amp;Today())+SUMIFS('FC inventory'!O$2:O1000,'FC inventory'!$C$2:$C1000,"Return",'FC inventory'!$B$2:$B1000,$A4,'FC inventory'!$A$2:$A1000,"&lt;"&amp;Today())-SUMIFS('FC inventory'!O$2:O1000,'FC inventory'!$C$2:$C1000,"Spoilage",'FC inventory'!$B$2:$B1000,$A4,'FC inventory'!$A$2:$A1000,"&lt;"&amp;today()))+ (SUMIFS('FC inventory'!O$2:O1000,'FC inventory'!$C$2:$C1000,"In",'FC inventory'!$B$2:$B1000,$A4,'FC inventory'!$A$2:$A1000,Today()))-(SUMIFS('FC inventory'!O$2:O1000,'FC inventory'!$C$2:$C1000,"Out",'FC inventory'!$B$2:$B1000,$A4,'FC inventory'!$A$2:$A1000,Today()) - (SUMIFS('FC inventory'!O$2:O1000,'FC inventory'!$C$2:$C1000,"Retuned",'FC inventory'!$B$2:$B1000,$A4,'FC inventory'!$A$2:$A1000,Today()) - (SUMIFS('FC inventory'!O$2:O1000,'FC inventory'!$C$2:$C1000,"Spoilage",'FC inventory'!$B$2:$B1000,$A4,'FC inventory'!$A$2:$A1000,Today()))))</f>
        <v>-1</v>
      </c>
      <c r="N4" s="29">
        <f>(SUMIFS('FC inventory'!P$2:P1000,'FC inventory'!$C$2:$C1000,"In",'FC inventory'!$B$2:$B1000,$A4,'FC inventory'!$A$2:$A1000,"&lt;"&amp;Today())-SUMIFS('FC inventory'!P$2:P1000,'FC inventory'!$C$2:$C1000,"Out",'FC inventory'!$B$2:$B1000,$A4,'FC inventory'!$A$2:$A1000,"&lt;"&amp;Today())+SUMIFS('FC inventory'!P$2:P1000,'FC inventory'!$C$2:$C1000,"Return",'FC inventory'!$B$2:$B1000,$A4,'FC inventory'!$A$2:$A1000,"&lt;"&amp;Today())-SUMIFS('FC inventory'!P$2:P1000,'FC inventory'!$C$2:$C1000,"Spoilage",'FC inventory'!$B$2:$B1000,$A4,'FC inventory'!$A$2:$A1000,"&lt;"&amp;today()))+ (SUMIFS('FC inventory'!P$2:P1000,'FC inventory'!$C$2:$C1000,"In",'FC inventory'!$B$2:$B1000,$A4,'FC inventory'!$A$2:$A1000,Today()))-(SUMIFS('FC inventory'!P$2:P1000,'FC inventory'!$C$2:$C1000,"Out",'FC inventory'!$B$2:$B1000,$A4,'FC inventory'!$A$2:$A1000,Today()) - (SUMIFS('FC inventory'!P$2:P1000,'FC inventory'!$C$2:$C1000,"Retuned",'FC inventory'!$B$2:$B1000,$A4,'FC inventory'!$A$2:$A1000,Today()) - (SUMIFS('FC inventory'!P$2:P1000,'FC inventory'!$C$2:$C1000,"Spoilage",'FC inventory'!$B$2:$B1000,$A4,'FC inventory'!$A$2:$A1000,Today()))))</f>
        <v>0</v>
      </c>
      <c r="O4" s="29">
        <f>(SUMIFS('FC inventory'!Q$2:Q1000,'FC inventory'!$C$2:$C1000,"In",'FC inventory'!$B$2:$B1000,$A4,'FC inventory'!$A$2:$A1000,"&lt;"&amp;Today())-SUMIFS('FC inventory'!Q$2:Q1000,'FC inventory'!$C$2:$C1000,"Out",'FC inventory'!$B$2:$B1000,$A4,'FC inventory'!$A$2:$A1000,"&lt;"&amp;Today())+SUMIFS('FC inventory'!Q$2:Q1000,'FC inventory'!$C$2:$C1000,"Return",'FC inventory'!$B$2:$B1000,$A4,'FC inventory'!$A$2:$A1000,"&lt;"&amp;Today())-SUMIFS('FC inventory'!Q$2:Q1000,'FC inventory'!$C$2:$C1000,"Spoilage",'FC inventory'!$B$2:$B1000,$A4,'FC inventory'!$A$2:$A1000,"&lt;"&amp;today()))+ (SUMIFS('FC inventory'!Q$2:Q1000,'FC inventory'!$C$2:$C1000,"In",'FC inventory'!$B$2:$B1000,$A4,'FC inventory'!$A$2:$A1000,Today()))-(SUMIFS('FC inventory'!Q$2:Q1000,'FC inventory'!$C$2:$C1000,"Out",'FC inventory'!$B$2:$B1000,$A4,'FC inventory'!$A$2:$A1000,Today()) - (SUMIFS('FC inventory'!Q$2:Q1000,'FC inventory'!$C$2:$C1000,"Retuned",'FC inventory'!$B$2:$B1000,$A4,'FC inventory'!$A$2:$A1000,Today()) - (SUMIFS('FC inventory'!Q$2:Q1000,'FC inventory'!$C$2:$C1000,"Spoilage",'FC inventory'!$B$2:$B1000,$A4,'FC inventory'!$A$2:$A1000,Today()))))</f>
        <v>2</v>
      </c>
      <c r="P4" s="29">
        <f>(SUMIFS('FC inventory'!R$2:R1000,'FC inventory'!$C$2:$C1000,"In",'FC inventory'!$B$2:$B1000,$A4,'FC inventory'!$A$2:$A1000,"&lt;"&amp;Today())-SUMIFS('FC inventory'!R$2:R1000,'FC inventory'!$C$2:$C1000,"Out",'FC inventory'!$B$2:$B1000,$A4,'FC inventory'!$A$2:$A1000,"&lt;"&amp;Today())+SUMIFS('FC inventory'!R$2:R1000,'FC inventory'!$C$2:$C1000,"Return",'FC inventory'!$B$2:$B1000,$A4,'FC inventory'!$A$2:$A1000,"&lt;"&amp;Today())-SUMIFS('FC inventory'!R$2:R1000,'FC inventory'!$C$2:$C1000,"Spoilage",'FC inventory'!$B$2:$B1000,$A4,'FC inventory'!$A$2:$A1000,"&lt;"&amp;today()))+ (SUMIFS('FC inventory'!R$2:R1000,'FC inventory'!$C$2:$C1000,"In",'FC inventory'!$B$2:$B1000,$A4,'FC inventory'!$A$2:$A1000,Today()))-(SUMIFS('FC inventory'!R$2:R1000,'FC inventory'!$C$2:$C1000,"Out",'FC inventory'!$B$2:$B1000,$A4,'FC inventory'!$A$2:$A1000,Today()) - (SUMIFS('FC inventory'!R$2:R1000,'FC inventory'!$C$2:$C1000,"Retuned",'FC inventory'!$B$2:$B1000,$A4,'FC inventory'!$A$2:$A1000,Today()) - (SUMIFS('FC inventory'!R$2:R1000,'FC inventory'!$C$2:$C1000,"Spoilage",'FC inventory'!$B$2:$B1000,$A4,'FC inventory'!$A$2:$A1000,Today()))))</f>
        <v>6</v>
      </c>
      <c r="Q4" s="29">
        <f>(SUMIFS('FC inventory'!S$2:S1000,'FC inventory'!$C$2:$C1000,"In",'FC inventory'!$B$2:$B1000,$A4,'FC inventory'!$A$2:$A1000,"&lt;"&amp;Today())-SUMIFS('FC inventory'!S$2:S1000,'FC inventory'!$C$2:$C1000,"Out",'FC inventory'!$B$2:$B1000,$A4,'FC inventory'!$A$2:$A1000,"&lt;"&amp;Today())+SUMIFS('FC inventory'!S$2:S1000,'FC inventory'!$C$2:$C1000,"Return",'FC inventory'!$B$2:$B1000,$A4,'FC inventory'!$A$2:$A1000,"&lt;"&amp;Today())-SUMIFS('FC inventory'!S$2:S1000,'FC inventory'!$C$2:$C1000,"Spoilage",'FC inventory'!$B$2:$B1000,$A4,'FC inventory'!$A$2:$A1000,"&lt;"&amp;today()))+ (SUMIFS('FC inventory'!S$2:S1000,'FC inventory'!$C$2:$C1000,"In",'FC inventory'!$B$2:$B1000,$A4,'FC inventory'!$A$2:$A1000,Today()))-(SUMIFS('FC inventory'!S$2:S1000,'FC inventory'!$C$2:$C1000,"Out",'FC inventory'!$B$2:$B1000,$A4,'FC inventory'!$A$2:$A1000,Today()) - (SUMIFS('FC inventory'!S$2:S1000,'FC inventory'!$C$2:$C1000,"Retuned",'FC inventory'!$B$2:$B1000,$A4,'FC inventory'!$A$2:$A1000,Today()) - (SUMIFS('FC inventory'!S$2:S1000,'FC inventory'!$C$2:$C1000,"Spoilage",'FC inventory'!$B$2:$B1000,$A4,'FC inventory'!$A$2:$A1000,Today()))))</f>
        <v>1</v>
      </c>
      <c r="R4" s="29">
        <f>(SUMIFS('FC inventory'!T$2:T1000,'FC inventory'!$C$2:$C1000,"In",'FC inventory'!$B$2:$B1000,$A4,'FC inventory'!$A$2:$A1000,"&lt;"&amp;Today())-SUMIFS('FC inventory'!T$2:T1000,'FC inventory'!$C$2:$C1000,"Out",'FC inventory'!$B$2:$B1000,$A4,'FC inventory'!$A$2:$A1000,"&lt;"&amp;Today())+SUMIFS('FC inventory'!T$2:T1000,'FC inventory'!$C$2:$C1000,"Return",'FC inventory'!$B$2:$B1000,$A4,'FC inventory'!$A$2:$A1000,"&lt;"&amp;Today())-SUMIFS('FC inventory'!T$2:T1000,'FC inventory'!$C$2:$C1000,"Spoilage",'FC inventory'!$B$2:$B1000,$A4,'FC inventory'!$A$2:$A1000,"&lt;"&amp;today()))+ (SUMIFS('FC inventory'!T$2:T1000,'FC inventory'!$C$2:$C1000,"In",'FC inventory'!$B$2:$B1000,$A4,'FC inventory'!$A$2:$A1000,Today()))-(SUMIFS('FC inventory'!T$2:T1000,'FC inventory'!$C$2:$C1000,"Out",'FC inventory'!$B$2:$B1000,$A4,'FC inventory'!$A$2:$A1000,Today()) - (SUMIFS('FC inventory'!T$2:T1000,'FC inventory'!$C$2:$C1000,"Retuned",'FC inventory'!$B$2:$B1000,$A4,'FC inventory'!$A$2:$A1000,Today()) - (SUMIFS('FC inventory'!T$2:T1000,'FC inventory'!$C$2:$C1000,"Spoilage",'FC inventory'!$B$2:$B1000,$A4,'FC inventory'!$A$2:$A1000,Today()))))</f>
        <v>0</v>
      </c>
      <c r="S4" s="29">
        <f>(SUMIFS('FC inventory'!U$2:U1000,'FC inventory'!$C$2:$C1000,"In",'FC inventory'!$B$2:$B1000,$A4,'FC inventory'!$A$2:$A1000,"&lt;"&amp;Today())-SUMIFS('FC inventory'!U$2:U1000,'FC inventory'!$C$2:$C1000,"Out",'FC inventory'!$B$2:$B1000,$A4,'FC inventory'!$A$2:$A1000,"&lt;"&amp;Today())+SUMIFS('FC inventory'!U$2:U1000,'FC inventory'!$C$2:$C1000,"Return",'FC inventory'!$B$2:$B1000,$A4,'FC inventory'!$A$2:$A1000,"&lt;"&amp;Today())-SUMIFS('FC inventory'!U$2:U1000,'FC inventory'!$C$2:$C1000,"Spoilage",'FC inventory'!$B$2:$B1000,$A4,'FC inventory'!$A$2:$A1000,"&lt;"&amp;today()))+ (SUMIFS('FC inventory'!U$2:U1000,'FC inventory'!$C$2:$C1000,"In",'FC inventory'!$B$2:$B1000,$A4,'FC inventory'!$A$2:$A1000,Today()))-(SUMIFS('FC inventory'!U$2:U1000,'FC inventory'!$C$2:$C1000,"Out",'FC inventory'!$B$2:$B1000,$A4,'FC inventory'!$A$2:$A1000,Today()) - (SUMIFS('FC inventory'!U$2:U1000,'FC inventory'!$C$2:$C1000,"Retuned",'FC inventory'!$B$2:$B1000,$A4,'FC inventory'!$A$2:$A1000,Today()) - (SUMIFS('FC inventory'!U$2:U1000,'FC inventory'!$C$2:$C1000,"Spoilage",'FC inventory'!$B$2:$B1000,$A4,'FC inventory'!$A$2:$A1000,Today()))))</f>
        <v>0</v>
      </c>
      <c r="T4" s="29">
        <f>(SUMIFS('FC inventory'!V$2:V1000,'FC inventory'!$C$2:$C1000,"In",'FC inventory'!$B$2:$B1000,$A4,'FC inventory'!$A$2:$A1000,"&lt;"&amp;Today())-SUMIFS('FC inventory'!V$2:V1000,'FC inventory'!$C$2:$C1000,"Out",'FC inventory'!$B$2:$B1000,$A4,'FC inventory'!$A$2:$A1000,"&lt;"&amp;Today())+SUMIFS('FC inventory'!V$2:V1000,'FC inventory'!$C$2:$C1000,"Return",'FC inventory'!$B$2:$B1000,$A4,'FC inventory'!$A$2:$A1000,"&lt;"&amp;Today())-SUMIFS('FC inventory'!V$2:V1000,'FC inventory'!$C$2:$C1000,"Spoilage",'FC inventory'!$B$2:$B1000,$A4,'FC inventory'!$A$2:$A1000,"&lt;"&amp;today()))+ (SUMIFS('FC inventory'!V$2:V1000,'FC inventory'!$C$2:$C1000,"In",'FC inventory'!$B$2:$B1000,$A4,'FC inventory'!$A$2:$A1000,Today()))-(SUMIFS('FC inventory'!V$2:V1000,'FC inventory'!$C$2:$C1000,"Out",'FC inventory'!$B$2:$B1000,$A4,'FC inventory'!$A$2:$A1000,Today()) - (SUMIFS('FC inventory'!V$2:V1000,'FC inventory'!$C$2:$C1000,"Retuned",'FC inventory'!$B$2:$B1000,$A4,'FC inventory'!$A$2:$A1000,Today()) - (SUMIFS('FC inventory'!V$2:V1000,'FC inventory'!$C$2:$C1000,"Spoilage",'FC inventory'!$B$2:$B1000,$A4,'FC inventory'!$A$2:$A1000,Today()))))</f>
        <v>0</v>
      </c>
      <c r="U4" s="29">
        <f>(SUMIFS('FC inventory'!W$2:W1000,'FC inventory'!$C$2:$C1000,"In",'FC inventory'!$B$2:$B1000,$A4,'FC inventory'!$A$2:$A1000,"&lt;"&amp;Today())-SUMIFS('FC inventory'!W$2:W1000,'FC inventory'!$C$2:$C1000,"Out",'FC inventory'!$B$2:$B1000,$A4,'FC inventory'!$A$2:$A1000,"&lt;"&amp;Today())+SUMIFS('FC inventory'!W$2:W1000,'FC inventory'!$C$2:$C1000,"Return",'FC inventory'!$B$2:$B1000,$A4,'FC inventory'!$A$2:$A1000,"&lt;"&amp;Today())-SUMIFS('FC inventory'!W$2:W1000,'FC inventory'!$C$2:$C1000,"Spoilage",'FC inventory'!$B$2:$B1000,$A4,'FC inventory'!$A$2:$A1000,"&lt;"&amp;today()))+ (SUMIFS('FC inventory'!W$2:W1000,'FC inventory'!$C$2:$C1000,"In",'FC inventory'!$B$2:$B1000,$A4,'FC inventory'!$A$2:$A1000,Today()))-(SUMIFS('FC inventory'!W$2:W1000,'FC inventory'!$C$2:$C1000,"Out",'FC inventory'!$B$2:$B1000,$A4,'FC inventory'!$A$2:$A1000,Today()) - (SUMIFS('FC inventory'!W$2:W1000,'FC inventory'!$C$2:$C1000,"Retuned",'FC inventory'!$B$2:$B1000,$A4,'FC inventory'!$A$2:$A1000,Today()) - (SUMIFS('FC inventory'!W$2:W1000,'FC inventory'!$C$2:$C1000,"Spoilage",'FC inventory'!$B$2:$B1000,$A4,'FC inventory'!$A$2:$A1000,Today()))))</f>
        <v>15</v>
      </c>
      <c r="V4" s="29">
        <f>(SUMIFS('FC inventory'!X$2:X1000,'FC inventory'!$C$2:$C1000,"In",'FC inventory'!$B$2:$B1000,$A4,'FC inventory'!$A$2:$A1000,"&lt;"&amp;Today())-SUMIFS('FC inventory'!X$2:X1000,'FC inventory'!$C$2:$C1000,"Out",'FC inventory'!$B$2:$B1000,$A4,'FC inventory'!$A$2:$A1000,"&lt;"&amp;Today())+SUMIFS('FC inventory'!X$2:X1000,'FC inventory'!$C$2:$C1000,"Return",'FC inventory'!$B$2:$B1000,$A4,'FC inventory'!$A$2:$A1000,"&lt;"&amp;Today())-SUMIFS('FC inventory'!X$2:X1000,'FC inventory'!$C$2:$C1000,"Spoilage",'FC inventory'!$B$2:$B1000,$A4,'FC inventory'!$A$2:$A1000,"&lt;"&amp;today()))+ (SUMIFS('FC inventory'!X$2:X1000,'FC inventory'!$C$2:$C1000,"In",'FC inventory'!$B$2:$B1000,$A4,'FC inventory'!$A$2:$A1000,Today()))-(SUMIFS('FC inventory'!X$2:X1000,'FC inventory'!$C$2:$C1000,"Out",'FC inventory'!$B$2:$B1000,$A4,'FC inventory'!$A$2:$A1000,Today()) - (SUMIFS('FC inventory'!X$2:X1000,'FC inventory'!$C$2:$C1000,"Retuned",'FC inventory'!$B$2:$B1000,$A4,'FC inventory'!$A$2:$A1000,Today()) - (SUMIFS('FC inventory'!X$2:X1000,'FC inventory'!$C$2:$C1000,"Spoilage",'FC inventory'!$B$2:$B1000,$A4,'FC inventory'!$A$2:$A1000,Today()))))</f>
        <v>4</v>
      </c>
      <c r="W4" s="29">
        <f>(SUMIFS('FC inventory'!Y$2:Y1000,'FC inventory'!$C$2:$C1000,"In",'FC inventory'!$B$2:$B1000,$A4,'FC inventory'!$A$2:$A1000,"&lt;"&amp;Today())-SUMIFS('FC inventory'!Y$2:Y1000,'FC inventory'!$C$2:$C1000,"Out",'FC inventory'!$B$2:$B1000,$A4,'FC inventory'!$A$2:$A1000,"&lt;"&amp;Today())+SUMIFS('FC inventory'!Y$2:Y1000,'FC inventory'!$C$2:$C1000,"Return",'FC inventory'!$B$2:$B1000,$A4,'FC inventory'!$A$2:$A1000,"&lt;"&amp;Today())-SUMIFS('FC inventory'!Y$2:Y1000,'FC inventory'!$C$2:$C1000,"Spoilage",'FC inventory'!$B$2:$B1000,$A4,'FC inventory'!$A$2:$A1000,"&lt;"&amp;today()))+ (SUMIFS('FC inventory'!Y$2:Y1000,'FC inventory'!$C$2:$C1000,"In",'FC inventory'!$B$2:$B1000,$A4,'FC inventory'!$A$2:$A1000,Today()))-(SUMIFS('FC inventory'!Y$2:Y1000,'FC inventory'!$C$2:$C1000,"Out",'FC inventory'!$B$2:$B1000,$A4,'FC inventory'!$A$2:$A1000,Today()) - (SUMIFS('FC inventory'!Y$2:Y1000,'FC inventory'!$C$2:$C1000,"Retuned",'FC inventory'!$B$2:$B1000,$A4,'FC inventory'!$A$2:$A1000,Today()) - (SUMIFS('FC inventory'!Y$2:Y1000,'FC inventory'!$C$2:$C1000,"Spoilage",'FC inventory'!$B$2:$B1000,$A4,'FC inventory'!$A$2:$A1000,Today()))))</f>
        <v>0</v>
      </c>
      <c r="X4" s="29">
        <f>(SUMIFS('FC inventory'!Z$2:Z1000,'FC inventory'!$C$2:$C1000,"In",'FC inventory'!$B$2:$B1000,$A4,'FC inventory'!$A$2:$A1000,"&lt;"&amp;Today())-SUMIFS('FC inventory'!Z$2:Z1000,'FC inventory'!$C$2:$C1000,"Out",'FC inventory'!$B$2:$B1000,$A4,'FC inventory'!$A$2:$A1000,"&lt;"&amp;Today())+SUMIFS('FC inventory'!Z$2:Z1000,'FC inventory'!$C$2:$C1000,"Return",'FC inventory'!$B$2:$B1000,$A4,'FC inventory'!$A$2:$A1000,"&lt;"&amp;Today())-SUMIFS('FC inventory'!Z$2:Z1000,'FC inventory'!$C$2:$C1000,"Spoilage",'FC inventory'!$B$2:$B1000,$A4,'FC inventory'!$A$2:$A1000,"&lt;"&amp;today()))+ (SUMIFS('FC inventory'!Z$2:Z1000,'FC inventory'!$C$2:$C1000,"In",'FC inventory'!$B$2:$B1000,$A4,'FC inventory'!$A$2:$A1000,Today()))-(SUMIFS('FC inventory'!Z$2:Z1000,'FC inventory'!$C$2:$C1000,"Out",'FC inventory'!$B$2:$B1000,$A4,'FC inventory'!$A$2:$A1000,Today()) - (SUMIFS('FC inventory'!Z$2:Z1000,'FC inventory'!$C$2:$C1000,"Retuned",'FC inventory'!$B$2:$B1000,$A4,'FC inventory'!$A$2:$A1000,Today()) - (SUMIFS('FC inventory'!Z$2:Z1000,'FC inventory'!$C$2:$C1000,"Spoilage",'FC inventory'!$B$2:$B1000,$A4,'FC inventory'!$A$2:$A1000,Today()))))</f>
        <v>0</v>
      </c>
      <c r="Y4" s="29">
        <f>(SUMIFS('FC inventory'!AA$2:AA1000,'FC inventory'!$C$2:$C1000,"In",'FC inventory'!$B$2:$B1000,$A4,'FC inventory'!$A$2:$A1000,"&lt;"&amp;Today())-SUMIFS('FC inventory'!AA$2:AA1000,'FC inventory'!$C$2:$C1000,"Out",'FC inventory'!$B$2:$B1000,$A4,'FC inventory'!$A$2:$A1000,"&lt;"&amp;Today())+SUMIFS('FC inventory'!AA$2:AA1000,'FC inventory'!$C$2:$C1000,"Return",'FC inventory'!$B$2:$B1000,$A4,'FC inventory'!$A$2:$A1000,"&lt;"&amp;Today())-SUMIFS('FC inventory'!AA$2:AA1000,'FC inventory'!$C$2:$C1000,"Spoilage",'FC inventory'!$B$2:$B1000,$A4,'FC inventory'!$A$2:$A1000,"&lt;"&amp;today()))+ (SUMIFS('FC inventory'!AA$2:AA1000,'FC inventory'!$C$2:$C1000,"In",'FC inventory'!$B$2:$B1000,$A4,'FC inventory'!$A$2:$A1000,Today()))-(SUMIFS('FC inventory'!AA$2:AA1000,'FC inventory'!$C$2:$C1000,"Out",'FC inventory'!$B$2:$B1000,$A4,'FC inventory'!$A$2:$A1000,Today()) - (SUMIFS('FC inventory'!AA$2:AA1000,'FC inventory'!$C$2:$C1000,"Retuned",'FC inventory'!$B$2:$B1000,$A4,'FC inventory'!$A$2:$A1000,Today()) - (SUMIFS('FC inventory'!AA$2:AA1000,'FC inventory'!$C$2:$C1000,"Spoilage",'FC inventory'!$B$2:$B1000,$A4,'FC inventory'!$A$2:$A1000,Today()))))</f>
        <v>1</v>
      </c>
      <c r="Z4" s="29">
        <f>(SUMIFS('FC inventory'!AB$2:AB1000,'FC inventory'!$C$2:$C1000,"In",'FC inventory'!$B$2:$B1000,$A4,'FC inventory'!$A$2:$A1000,"&lt;"&amp;Today())-SUMIFS('FC inventory'!AB$2:AB1000,'FC inventory'!$C$2:$C1000,"Out",'FC inventory'!$B$2:$B1000,$A4,'FC inventory'!$A$2:$A1000,"&lt;"&amp;Today())+SUMIFS('FC inventory'!AB$2:AB1000,'FC inventory'!$C$2:$C1000,"Return",'FC inventory'!$B$2:$B1000,$A4,'FC inventory'!$A$2:$A1000,"&lt;"&amp;Today())-SUMIFS('FC inventory'!AB$2:AB1000,'FC inventory'!$C$2:$C1000,"Spoilage",'FC inventory'!$B$2:$B1000,$A4,'FC inventory'!$A$2:$A1000,"&lt;"&amp;today()))+ (SUMIFS('FC inventory'!AB$2:AB1000,'FC inventory'!$C$2:$C1000,"In",'FC inventory'!$B$2:$B1000,$A4,'FC inventory'!$A$2:$A1000,Today()))-(SUMIFS('FC inventory'!AB$2:AB1000,'FC inventory'!$C$2:$C1000,"Out",'FC inventory'!$B$2:$B1000,$A4,'FC inventory'!$A$2:$A1000,Today()) - (SUMIFS('FC inventory'!AB$2:AB1000,'FC inventory'!$C$2:$C1000,"Retuned",'FC inventory'!$B$2:$B1000,$A4,'FC inventory'!$A$2:$A1000,Today()) - (SUMIFS('FC inventory'!AB$2:AB1000,'FC inventory'!$C$2:$C1000,"Spoilage",'FC inventory'!$B$2:$B1000,$A4,'FC inventory'!$A$2:$A1000,Today()))))</f>
        <v>2</v>
      </c>
      <c r="AA4" s="29">
        <f>(SUMIFS('FC inventory'!AC$2:AC1000,'FC inventory'!$C$2:$C1000,"In",'FC inventory'!$B$2:$B1000,$A4,'FC inventory'!$A$2:$A1000,"&lt;"&amp;Today())-SUMIFS('FC inventory'!AC$2:AC1000,'FC inventory'!$C$2:$C1000,"Out",'FC inventory'!$B$2:$B1000,$A4,'FC inventory'!$A$2:$A1000,"&lt;"&amp;Today())+SUMIFS('FC inventory'!AC$2:AC1000,'FC inventory'!$C$2:$C1000,"Return",'FC inventory'!$B$2:$B1000,$A4,'FC inventory'!$A$2:$A1000,"&lt;"&amp;Today())-SUMIFS('FC inventory'!AC$2:AC1000,'FC inventory'!$C$2:$C1000,"Spoilage",'FC inventory'!$B$2:$B1000,$A4,'FC inventory'!$A$2:$A1000,"&lt;"&amp;today()))+ (SUMIFS('FC inventory'!AC$2:AC1000,'FC inventory'!$C$2:$C1000,"In",'FC inventory'!$B$2:$B1000,$A4,'FC inventory'!$A$2:$A1000,Today()))-(SUMIFS('FC inventory'!AC$2:AC1000,'FC inventory'!$C$2:$C1000,"Out",'FC inventory'!$B$2:$B1000,$A4,'FC inventory'!$A$2:$A1000,Today()) - (SUMIFS('FC inventory'!AC$2:AC1000,'FC inventory'!$C$2:$C1000,"Retuned",'FC inventory'!$B$2:$B1000,$A4,'FC inventory'!$A$2:$A1000,Today()) - (SUMIFS('FC inventory'!AC$2:AC1000,'FC inventory'!$C$2:$C1000,"Spoilage",'FC inventory'!$B$2:$B1000,$A4,'FC inventory'!$A$2:$A1000,Today()))))</f>
        <v>0</v>
      </c>
      <c r="AB4" s="29">
        <f>(SUMIFS('FC inventory'!AD$2:AD1000,'FC inventory'!$C$2:$C1000,"In",'FC inventory'!$B$2:$B1000,$A4,'FC inventory'!$A$2:$A1000,"&lt;"&amp;Today())-SUMIFS('FC inventory'!AD$2:AD1000,'FC inventory'!$C$2:$C1000,"Out",'FC inventory'!$B$2:$B1000,$A4,'FC inventory'!$A$2:$A1000,"&lt;"&amp;Today())+SUMIFS('FC inventory'!AD$2:AD1000,'FC inventory'!$C$2:$C1000,"Return",'FC inventory'!$B$2:$B1000,$A4,'FC inventory'!$A$2:$A1000,"&lt;"&amp;Today())-SUMIFS('FC inventory'!AD$2:AD1000,'FC inventory'!$C$2:$C1000,"Spoilage",'FC inventory'!$B$2:$B1000,$A4,'FC inventory'!$A$2:$A1000,"&lt;"&amp;today()))+ (SUMIFS('FC inventory'!AD$2:AD1000,'FC inventory'!$C$2:$C1000,"In",'FC inventory'!$B$2:$B1000,$A4,'FC inventory'!$A$2:$A1000,Today()))-(SUMIFS('FC inventory'!AD$2:AD1000,'FC inventory'!$C$2:$C1000,"Out",'FC inventory'!$B$2:$B1000,$A4,'FC inventory'!$A$2:$A1000,Today()) - (SUMIFS('FC inventory'!AD$2:AD1000,'FC inventory'!$C$2:$C1000,"Retuned",'FC inventory'!$B$2:$B1000,$A4,'FC inventory'!$A$2:$A1000,Today()) - (SUMIFS('FC inventory'!AD$2:AD1000,'FC inventory'!$C$2:$C1000,"Spoilage",'FC inventory'!$B$2:$B1000,$A4,'FC inventory'!$A$2:$A1000,Today()))))</f>
        <v>0</v>
      </c>
      <c r="AC4" s="29">
        <f>(SUMIFS('FC inventory'!AE$2:AE1000,'FC inventory'!$C$2:$C1000,"In",'FC inventory'!$B$2:$B1000,$A4,'FC inventory'!$A$2:$A1000,"&lt;"&amp;Today())-SUMIFS('FC inventory'!AE$2:AE1000,'FC inventory'!$C$2:$C1000,"Out",'FC inventory'!$B$2:$B1000,$A4,'FC inventory'!$A$2:$A1000,"&lt;"&amp;Today())+SUMIFS('FC inventory'!AE$2:AE1000,'FC inventory'!$C$2:$C1000,"Return",'FC inventory'!$B$2:$B1000,$A4,'FC inventory'!$A$2:$A1000,"&lt;"&amp;Today())-SUMIFS('FC inventory'!AE$2:AE1000,'FC inventory'!$C$2:$C1000,"Spoilage",'FC inventory'!$B$2:$B1000,$A4,'FC inventory'!$A$2:$A1000,"&lt;"&amp;today()))+ (SUMIFS('FC inventory'!AE$2:AE1000,'FC inventory'!$C$2:$C1000,"In",'FC inventory'!$B$2:$B1000,$A4,'FC inventory'!$A$2:$A1000,Today()))-(SUMIFS('FC inventory'!AE$2:AE1000,'FC inventory'!$C$2:$C1000,"Out",'FC inventory'!$B$2:$B1000,$A4,'FC inventory'!$A$2:$A1000,Today()) - (SUMIFS('FC inventory'!AE$2:AE1000,'FC inventory'!$C$2:$C1000,"Retuned",'FC inventory'!$B$2:$B1000,$A4,'FC inventory'!$A$2:$A1000,Today()) - (SUMIFS('FC inventory'!AE$2:AE1000,'FC inventory'!$C$2:$C1000,"Spoilage",'FC inventory'!$B$2:$B1000,$A4,'FC inventory'!$A$2:$A1000,Today()))))</f>
        <v>0</v>
      </c>
      <c r="AD4" s="29">
        <f>(SUMIFS('FC inventory'!AF$2:AF1000,'FC inventory'!$C$2:$C1000,"In",'FC inventory'!$B$2:$B1000,$A4,'FC inventory'!$A$2:$A1000,"&lt;"&amp;Today())-SUMIFS('FC inventory'!AF$2:AF1000,'FC inventory'!$C$2:$C1000,"Out",'FC inventory'!$B$2:$B1000,$A4,'FC inventory'!$A$2:$A1000,"&lt;"&amp;Today())+SUMIFS('FC inventory'!AF$2:AF1000,'FC inventory'!$C$2:$C1000,"Return",'FC inventory'!$B$2:$B1000,$A4,'FC inventory'!$A$2:$A1000,"&lt;"&amp;Today())-SUMIFS('FC inventory'!AF$2:AF1000,'FC inventory'!$C$2:$C1000,"Spoilage",'FC inventory'!$B$2:$B1000,$A4,'FC inventory'!$A$2:$A1000,"&lt;"&amp;today()))+ (SUMIFS('FC inventory'!AF$2:AF1000,'FC inventory'!$C$2:$C1000,"In",'FC inventory'!$B$2:$B1000,$A4,'FC inventory'!$A$2:$A1000,Today()))-(SUMIFS('FC inventory'!AF$2:AF1000,'FC inventory'!$C$2:$C1000,"Out",'FC inventory'!$B$2:$B1000,$A4,'FC inventory'!$A$2:$A1000,Today()) - (SUMIFS('FC inventory'!AF$2:AF1000,'FC inventory'!$C$2:$C1000,"Retuned",'FC inventory'!$B$2:$B1000,$A4,'FC inventory'!$A$2:$A1000,Today()) - (SUMIFS('FC inventory'!AF$2:AF1000,'FC inventory'!$C$2:$C1000,"Spoilage",'FC inventory'!$B$2:$B1000,$A4,'FC inventory'!$A$2:$A1000,Today()))))</f>
        <v>0</v>
      </c>
      <c r="AE4" s="29">
        <f>(SUMIFS('FC inventory'!AG$2:AG1000,'FC inventory'!$C$2:$C1000,"In",'FC inventory'!$B$2:$B1000,$A4,'FC inventory'!$A$2:$A1000,"&lt;"&amp;Today())-SUMIFS('FC inventory'!AG$2:AG1000,'FC inventory'!$C$2:$C1000,"Out",'FC inventory'!$B$2:$B1000,$A4,'FC inventory'!$A$2:$A1000,"&lt;"&amp;Today())+SUMIFS('FC inventory'!AG$2:AG1000,'FC inventory'!$C$2:$C1000,"Return",'FC inventory'!$B$2:$B1000,$A4,'FC inventory'!$A$2:$A1000,"&lt;"&amp;Today())-SUMIFS('FC inventory'!AG$2:AG1000,'FC inventory'!$C$2:$C1000,"Spoilage",'FC inventory'!$B$2:$B1000,$A4,'FC inventory'!$A$2:$A1000,"&lt;"&amp;today()))+ (SUMIFS('FC inventory'!AG$2:AG1000,'FC inventory'!$C$2:$C1000,"In",'FC inventory'!$B$2:$B1000,$A4,'FC inventory'!$A$2:$A1000,Today()))-(SUMIFS('FC inventory'!AG$2:AG1000,'FC inventory'!$C$2:$C1000,"Out",'FC inventory'!$B$2:$B1000,$A4,'FC inventory'!$A$2:$A1000,Today()) - (SUMIFS('FC inventory'!AG$2:AG1000,'FC inventory'!$C$2:$C1000,"Retuned",'FC inventory'!$B$2:$B1000,$A4,'FC inventory'!$A$2:$A1000,Today()) - (SUMIFS('FC inventory'!AG$2:AG1000,'FC inventory'!$C$2:$C1000,"Spoilage",'FC inventory'!$B$2:$B1000,$A4,'FC inventory'!$A$2:$A1000,Today()))))</f>
        <v>0</v>
      </c>
      <c r="AF4" s="29">
        <f>(SUMIFS('FC inventory'!AH$2:AH1000,'FC inventory'!$C$2:$C1000,"In",'FC inventory'!$B$2:$B1000,$A4,'FC inventory'!$A$2:$A1000,"&lt;"&amp;Today())-SUMIFS('FC inventory'!AH$2:AH1000,'FC inventory'!$C$2:$C1000,"Out",'FC inventory'!$B$2:$B1000,$A4,'FC inventory'!$A$2:$A1000,"&lt;"&amp;Today())+SUMIFS('FC inventory'!AH$2:AH1000,'FC inventory'!$C$2:$C1000,"Return",'FC inventory'!$B$2:$B1000,$A4,'FC inventory'!$A$2:$A1000,"&lt;"&amp;Today())-SUMIFS('FC inventory'!AH$2:AH1000,'FC inventory'!$C$2:$C1000,"Spoilage",'FC inventory'!$B$2:$B1000,$A4,'FC inventory'!$A$2:$A1000,"&lt;"&amp;today()))+ (SUMIFS('FC inventory'!AH$2:AH1000,'FC inventory'!$C$2:$C1000,"In",'FC inventory'!$B$2:$B1000,$A4,'FC inventory'!$A$2:$A1000,Today()))-(SUMIFS('FC inventory'!AH$2:AH1000,'FC inventory'!$C$2:$C1000,"Out",'FC inventory'!$B$2:$B1000,$A4,'FC inventory'!$A$2:$A1000,Today()) - (SUMIFS('FC inventory'!AH$2:AH1000,'FC inventory'!$C$2:$C1000,"Retuned",'FC inventory'!$B$2:$B1000,$A4,'FC inventory'!$A$2:$A1000,Today()) - (SUMIFS('FC inventory'!AH$2:AH1000,'FC inventory'!$C$2:$C1000,"Spoilage",'FC inventory'!$B$2:$B1000,$A4,'FC inventory'!$A$2:$A1000,Today()))))</f>
        <v>0</v>
      </c>
    </row>
    <row r="5">
      <c r="A5" s="28" t="s">
        <v>39</v>
      </c>
      <c r="B5" s="29">
        <f>(SUMIFS('FC inventory'!D$2:D1000,'FC inventory'!$C$2:$C1000,"In",'FC inventory'!$B$2:$B1000,$A5,'FC inventory'!$A$2:$A1000,"&lt;"&amp;Today())-SUMIFS('FC inventory'!D$2:D1000,'FC inventory'!$C$2:$C1000,"Out",'FC inventory'!$B$2:$B1000,$A5,'FC inventory'!$A$2:$A1000,"&lt;"&amp;Today())+SUMIFS('FC inventory'!D$2:D1000,'FC inventory'!$C$2:$C1000,"Return",'FC inventory'!$B$2:$B1000,$A5,'FC inventory'!$A$2:$A1000,"&lt;"&amp;Today())-SUMIFS('FC inventory'!D$2:D1000,'FC inventory'!$C$2:$C1000,"Spoilage",'FC inventory'!$B$2:$B1000,$A5,'FC inventory'!$A$2:$A1000,"&lt;"&amp;today()))+ (SUMIFS('FC inventory'!D$2:D1000,'FC inventory'!$C$2:$C1000,"In",'FC inventory'!$B$2:$B1000,$A5,'FC inventory'!$A$2:$A1000,Today()))-(SUMIFS('FC inventory'!D$2:D1000,'FC inventory'!$C$2:$C1000,"Out",'FC inventory'!$B$2:$B1000,$A5,'FC inventory'!$A$2:$A1000,Today()) - (SUMIFS('FC inventory'!D$2:D1000,'FC inventory'!$C$2:$C1000,"Retuned",'FC inventory'!$B$2:$B1000,$A5,'FC inventory'!$A$2:$A1000,Today()) - (SUMIFS('FC inventory'!D$2:D1000,'FC inventory'!$C$2:$C1000,"Spoilage",'FC inventory'!$B$2:$B1000,$A5,'FC inventory'!$A$2:$A1000,Today()))))</f>
        <v>0</v>
      </c>
      <c r="C5" s="29">
        <f>(SUMIFS('FC inventory'!E$2:E1000,'FC inventory'!$C$2:$C1000,"In",'FC inventory'!$B$2:$B1000,$A5,'FC inventory'!$A$2:$A1000,"&lt;"&amp;Today())-SUMIFS('FC inventory'!E$2:E1000,'FC inventory'!$C$2:$C1000,"Out",'FC inventory'!$B$2:$B1000,$A5,'FC inventory'!$A$2:$A1000,"&lt;"&amp;Today())+SUMIFS('FC inventory'!E$2:E1000,'FC inventory'!$C$2:$C1000,"Return",'FC inventory'!$B$2:$B1000,$A5,'FC inventory'!$A$2:$A1000,"&lt;"&amp;Today())-SUMIFS('FC inventory'!E$2:E1000,'FC inventory'!$C$2:$C1000,"Spoilage",'FC inventory'!$B$2:$B1000,$A5,'FC inventory'!$A$2:$A1000,"&lt;"&amp;today()))+ (SUMIFS('FC inventory'!E$2:E1000,'FC inventory'!$C$2:$C1000,"In",'FC inventory'!$B$2:$B1000,$A5,'FC inventory'!$A$2:$A1000,Today()))-(SUMIFS('FC inventory'!E$2:E1000,'FC inventory'!$C$2:$C1000,"Out",'FC inventory'!$B$2:$B1000,$A5,'FC inventory'!$A$2:$A1000,Today()) - (SUMIFS('FC inventory'!E$2:E1000,'FC inventory'!$C$2:$C1000,"Retuned",'FC inventory'!$B$2:$B1000,$A5,'FC inventory'!$A$2:$A1000,Today()) - (SUMIFS('FC inventory'!E$2:E1000,'FC inventory'!$C$2:$C1000,"Spoilage",'FC inventory'!$B$2:$B1000,$A5,'FC inventory'!$A$2:$A1000,Today()))))</f>
        <v>0</v>
      </c>
      <c r="D5" s="29">
        <f>(SUMIFS('FC inventory'!F$2:F1000,'FC inventory'!$C$2:$C1000,"In",'FC inventory'!$B$2:$B1000,$A5,'FC inventory'!$A$2:$A1000,"&lt;"&amp;Today())-SUMIFS('FC inventory'!F$2:F1000,'FC inventory'!$C$2:$C1000,"Out",'FC inventory'!$B$2:$B1000,$A5,'FC inventory'!$A$2:$A1000,"&lt;"&amp;Today())+SUMIFS('FC inventory'!F$2:F1000,'FC inventory'!$C$2:$C1000,"Return",'FC inventory'!$B$2:$B1000,$A5,'FC inventory'!$A$2:$A1000,"&lt;"&amp;Today())-SUMIFS('FC inventory'!F$2:F1000,'FC inventory'!$C$2:$C1000,"Spoilage",'FC inventory'!$B$2:$B1000,$A5,'FC inventory'!$A$2:$A1000,"&lt;"&amp;today()))+ (SUMIFS('FC inventory'!F$2:F1000,'FC inventory'!$C$2:$C1000,"In",'FC inventory'!$B$2:$B1000,$A5,'FC inventory'!$A$2:$A1000,Today()))-(SUMIFS('FC inventory'!F$2:F1000,'FC inventory'!$C$2:$C1000,"Out",'FC inventory'!$B$2:$B1000,$A5,'FC inventory'!$A$2:$A1000,Today()) - (SUMIFS('FC inventory'!F$2:F1000,'FC inventory'!$C$2:$C1000,"Retuned",'FC inventory'!$B$2:$B1000,$A5,'FC inventory'!$A$2:$A1000,Today()) - (SUMIFS('FC inventory'!F$2:F1000,'FC inventory'!$C$2:$C1000,"Spoilage",'FC inventory'!$B$2:$B1000,$A5,'FC inventory'!$A$2:$A1000,Today()))))</f>
        <v>0</v>
      </c>
      <c r="E5" s="29">
        <f>(SUMIFS('FC inventory'!G$2:G1000,'FC inventory'!$C$2:$C1000,"In",'FC inventory'!$B$2:$B1000,$A5,'FC inventory'!$A$2:$A1000,"&lt;"&amp;Today())-SUMIFS('FC inventory'!G$2:G1000,'FC inventory'!$C$2:$C1000,"Out",'FC inventory'!$B$2:$B1000,$A5,'FC inventory'!$A$2:$A1000,"&lt;"&amp;Today())+SUMIFS('FC inventory'!G$2:G1000,'FC inventory'!$C$2:$C1000,"Return",'FC inventory'!$B$2:$B1000,$A5,'FC inventory'!$A$2:$A1000,"&lt;"&amp;Today())-SUMIFS('FC inventory'!G$2:G1000,'FC inventory'!$C$2:$C1000,"Spoilage",'FC inventory'!$B$2:$B1000,$A5,'FC inventory'!$A$2:$A1000,"&lt;"&amp;today()))+ (SUMIFS('FC inventory'!G$2:G1000,'FC inventory'!$C$2:$C1000,"In",'FC inventory'!$B$2:$B1000,$A5,'FC inventory'!$A$2:$A1000,Today()))-(SUMIFS('FC inventory'!G$2:G1000,'FC inventory'!$C$2:$C1000,"Out",'FC inventory'!$B$2:$B1000,$A5,'FC inventory'!$A$2:$A1000,Today()) - (SUMIFS('FC inventory'!G$2:G1000,'FC inventory'!$C$2:$C1000,"Retuned",'FC inventory'!$B$2:$B1000,$A5,'FC inventory'!$A$2:$A1000,Today()) - (SUMIFS('FC inventory'!G$2:G1000,'FC inventory'!$C$2:$C1000,"Spoilage",'FC inventory'!$B$2:$B1000,$A5,'FC inventory'!$A$2:$A1000,Today()))))</f>
        <v>0</v>
      </c>
      <c r="F5" s="29">
        <f>(SUMIFS('FC inventory'!H$2:H1000,'FC inventory'!$C$2:$C1000,"In",'FC inventory'!$B$2:$B1000,$A5,'FC inventory'!$A$2:$A1000,"&lt;"&amp;Today())-SUMIFS('FC inventory'!H$2:H1000,'FC inventory'!$C$2:$C1000,"Out",'FC inventory'!$B$2:$B1000,$A5,'FC inventory'!$A$2:$A1000,"&lt;"&amp;Today())+SUMIFS('FC inventory'!H$2:H1000,'FC inventory'!$C$2:$C1000,"Return",'FC inventory'!$B$2:$B1000,$A5,'FC inventory'!$A$2:$A1000,"&lt;"&amp;Today())-SUMIFS('FC inventory'!H$2:H1000,'FC inventory'!$C$2:$C1000,"Spoilage",'FC inventory'!$B$2:$B1000,$A5,'FC inventory'!$A$2:$A1000,"&lt;"&amp;today()))+ (SUMIFS('FC inventory'!H$2:H1000,'FC inventory'!$C$2:$C1000,"In",'FC inventory'!$B$2:$B1000,$A5,'FC inventory'!$A$2:$A1000,Today()))-(SUMIFS('FC inventory'!H$2:H1000,'FC inventory'!$C$2:$C1000,"Out",'FC inventory'!$B$2:$B1000,$A5,'FC inventory'!$A$2:$A1000,Today()) - (SUMIFS('FC inventory'!H$2:H1000,'FC inventory'!$C$2:$C1000,"Retuned",'FC inventory'!$B$2:$B1000,$A5,'FC inventory'!$A$2:$A1000,Today()) - (SUMIFS('FC inventory'!H$2:H1000,'FC inventory'!$C$2:$C1000,"Spoilage",'FC inventory'!$B$2:$B1000,$A5,'FC inventory'!$A$2:$A1000,Today()))))</f>
        <v>0</v>
      </c>
      <c r="G5" s="29">
        <f>(SUMIFS('FC inventory'!I$2:I1000,'FC inventory'!$C$2:$C1000,"In",'FC inventory'!$B$2:$B1000,$A5,'FC inventory'!$A$2:$A1000,"&lt;"&amp;Today())-SUMIFS('FC inventory'!I$2:I1000,'FC inventory'!$C$2:$C1000,"Out",'FC inventory'!$B$2:$B1000,$A5,'FC inventory'!$A$2:$A1000,"&lt;"&amp;Today())+SUMIFS('FC inventory'!I$2:I1000,'FC inventory'!$C$2:$C1000,"Return",'FC inventory'!$B$2:$B1000,$A5,'FC inventory'!$A$2:$A1000,"&lt;"&amp;Today())-SUMIFS('FC inventory'!I$2:I1000,'FC inventory'!$C$2:$C1000,"Spoilage",'FC inventory'!$B$2:$B1000,$A5,'FC inventory'!$A$2:$A1000,"&lt;"&amp;today()))+ (SUMIFS('FC inventory'!I$2:I1000,'FC inventory'!$C$2:$C1000,"In",'FC inventory'!$B$2:$B1000,$A5,'FC inventory'!$A$2:$A1000,Today()))-(SUMIFS('FC inventory'!I$2:I1000,'FC inventory'!$C$2:$C1000,"Out",'FC inventory'!$B$2:$B1000,$A5,'FC inventory'!$A$2:$A1000,Today()) - (SUMIFS('FC inventory'!I$2:I1000,'FC inventory'!$C$2:$C1000,"Retuned",'FC inventory'!$B$2:$B1000,$A5,'FC inventory'!$A$2:$A1000,Today()) - (SUMIFS('FC inventory'!I$2:I1000,'FC inventory'!$C$2:$C1000,"Spoilage",'FC inventory'!$B$2:$B1000,$A5,'FC inventory'!$A$2:$A1000,Today()))))</f>
        <v>26</v>
      </c>
      <c r="H5" s="29">
        <f>(SUMIFS('FC inventory'!J$2:J1000,'FC inventory'!$C$2:$C1000,"In",'FC inventory'!$B$2:$B1000,$A5,'FC inventory'!$A$2:$A1000,"&lt;"&amp;Today())-SUMIFS('FC inventory'!J$2:J1000,'FC inventory'!$C$2:$C1000,"Out",'FC inventory'!$B$2:$B1000,$A5,'FC inventory'!$A$2:$A1000,"&lt;"&amp;Today())+SUMIFS('FC inventory'!J$2:J1000,'FC inventory'!$C$2:$C1000,"Return",'FC inventory'!$B$2:$B1000,$A5,'FC inventory'!$A$2:$A1000,"&lt;"&amp;Today())-SUMIFS('FC inventory'!J$2:J1000,'FC inventory'!$C$2:$C1000,"Spoilage",'FC inventory'!$B$2:$B1000,$A5,'FC inventory'!$A$2:$A1000,"&lt;"&amp;today()))+ (SUMIFS('FC inventory'!J$2:J1000,'FC inventory'!$C$2:$C1000,"In",'FC inventory'!$B$2:$B1000,$A5,'FC inventory'!$A$2:$A1000,Today()))-(SUMIFS('FC inventory'!J$2:J1000,'FC inventory'!$C$2:$C1000,"Out",'FC inventory'!$B$2:$B1000,$A5,'FC inventory'!$A$2:$A1000,Today()) - (SUMIFS('FC inventory'!J$2:J1000,'FC inventory'!$C$2:$C1000,"Retuned",'FC inventory'!$B$2:$B1000,$A5,'FC inventory'!$A$2:$A1000,Today()) - (SUMIFS('FC inventory'!J$2:J1000,'FC inventory'!$C$2:$C1000,"Spoilage",'FC inventory'!$B$2:$B1000,$A5,'FC inventory'!$A$2:$A1000,Today()))))</f>
        <v>0</v>
      </c>
      <c r="I5" s="29">
        <f>(SUMIFS('FC inventory'!K$2:K1000,'FC inventory'!$C$2:$C1000,"In",'FC inventory'!$B$2:$B1000,$A5,'FC inventory'!$A$2:$A1000,"&lt;"&amp;Today())-SUMIFS('FC inventory'!K$2:K1000,'FC inventory'!$C$2:$C1000,"Out",'FC inventory'!$B$2:$B1000,$A5,'FC inventory'!$A$2:$A1000,"&lt;"&amp;Today())+SUMIFS('FC inventory'!K$2:K1000,'FC inventory'!$C$2:$C1000,"Return",'FC inventory'!$B$2:$B1000,$A5,'FC inventory'!$A$2:$A1000,"&lt;"&amp;Today())-SUMIFS('FC inventory'!K$2:K1000,'FC inventory'!$C$2:$C1000,"Spoilage",'FC inventory'!$B$2:$B1000,$A5,'FC inventory'!$A$2:$A1000,"&lt;"&amp;today()))+ (SUMIFS('FC inventory'!K$2:K1000,'FC inventory'!$C$2:$C1000,"In",'FC inventory'!$B$2:$B1000,$A5,'FC inventory'!$A$2:$A1000,Today()))-(SUMIFS('FC inventory'!K$2:K1000,'FC inventory'!$C$2:$C1000,"Out",'FC inventory'!$B$2:$B1000,$A5,'FC inventory'!$A$2:$A1000,Today()) - (SUMIFS('FC inventory'!K$2:K1000,'FC inventory'!$C$2:$C1000,"Retuned",'FC inventory'!$B$2:$B1000,$A5,'FC inventory'!$A$2:$A1000,Today()) - (SUMIFS('FC inventory'!K$2:K1000,'FC inventory'!$C$2:$C1000,"Spoilage",'FC inventory'!$B$2:$B1000,$A5,'FC inventory'!$A$2:$A1000,Today()))))</f>
        <v>0</v>
      </c>
      <c r="J5" s="29">
        <f>(SUMIFS('FC inventory'!L$2:L1000,'FC inventory'!$C$2:$C1000,"In",'FC inventory'!$B$2:$B1000,$A5,'FC inventory'!$A$2:$A1000,"&lt;"&amp;Today())-SUMIFS('FC inventory'!L$2:L1000,'FC inventory'!$C$2:$C1000,"Out",'FC inventory'!$B$2:$B1000,$A5,'FC inventory'!$A$2:$A1000,"&lt;"&amp;Today())+SUMIFS('FC inventory'!L$2:L1000,'FC inventory'!$C$2:$C1000,"Return",'FC inventory'!$B$2:$B1000,$A5,'FC inventory'!$A$2:$A1000,"&lt;"&amp;Today())-SUMIFS('FC inventory'!L$2:L1000,'FC inventory'!$C$2:$C1000,"Spoilage",'FC inventory'!$B$2:$B1000,$A5,'FC inventory'!$A$2:$A1000,"&lt;"&amp;today()))+ (SUMIFS('FC inventory'!L$2:L1000,'FC inventory'!$C$2:$C1000,"In",'FC inventory'!$B$2:$B1000,$A5,'FC inventory'!$A$2:$A1000,Today()))-(SUMIFS('FC inventory'!L$2:L1000,'FC inventory'!$C$2:$C1000,"Out",'FC inventory'!$B$2:$B1000,$A5,'FC inventory'!$A$2:$A1000,Today()) - (SUMIFS('FC inventory'!L$2:L1000,'FC inventory'!$C$2:$C1000,"Retuned",'FC inventory'!$B$2:$B1000,$A5,'FC inventory'!$A$2:$A1000,Today()) - (SUMIFS('FC inventory'!L$2:L1000,'FC inventory'!$C$2:$C1000,"Spoilage",'FC inventory'!$B$2:$B1000,$A5,'FC inventory'!$A$2:$A1000,Today()))))</f>
        <v>0</v>
      </c>
      <c r="K5" s="29">
        <f>(SUMIFS('FC inventory'!M$2:M1000,'FC inventory'!$C$2:$C1000,"In",'FC inventory'!$B$2:$B1000,$A5,'FC inventory'!$A$2:$A1000,"&lt;"&amp;Today())-SUMIFS('FC inventory'!M$2:M1000,'FC inventory'!$C$2:$C1000,"Out",'FC inventory'!$B$2:$B1000,$A5,'FC inventory'!$A$2:$A1000,"&lt;"&amp;Today())+SUMIFS('FC inventory'!M$2:M1000,'FC inventory'!$C$2:$C1000,"Return",'FC inventory'!$B$2:$B1000,$A5,'FC inventory'!$A$2:$A1000,"&lt;"&amp;Today())-SUMIFS('FC inventory'!M$2:M1000,'FC inventory'!$C$2:$C1000,"Spoilage",'FC inventory'!$B$2:$B1000,$A5,'FC inventory'!$A$2:$A1000,"&lt;"&amp;today()))+ (SUMIFS('FC inventory'!M$2:M1000,'FC inventory'!$C$2:$C1000,"In",'FC inventory'!$B$2:$B1000,$A5,'FC inventory'!$A$2:$A1000,Today()))-(SUMIFS('FC inventory'!M$2:M1000,'FC inventory'!$C$2:$C1000,"Out",'FC inventory'!$B$2:$B1000,$A5,'FC inventory'!$A$2:$A1000,Today()) - (SUMIFS('FC inventory'!M$2:M1000,'FC inventory'!$C$2:$C1000,"Retuned",'FC inventory'!$B$2:$B1000,$A5,'FC inventory'!$A$2:$A1000,Today()) - (SUMIFS('FC inventory'!M$2:M1000,'FC inventory'!$C$2:$C1000,"Spoilage",'FC inventory'!$B$2:$B1000,$A5,'FC inventory'!$A$2:$A1000,Today()))))</f>
        <v>0</v>
      </c>
      <c r="L5" s="29">
        <f>(SUMIFS('FC inventory'!N$2:N1000,'FC inventory'!$C$2:$C1000,"In",'FC inventory'!$B$2:$B1000,$A5,'FC inventory'!$A$2:$A1000,"&lt;"&amp;Today())-SUMIFS('FC inventory'!N$2:N1000,'FC inventory'!$C$2:$C1000,"Out",'FC inventory'!$B$2:$B1000,$A5,'FC inventory'!$A$2:$A1000,"&lt;"&amp;Today())+SUMIFS('FC inventory'!N$2:N1000,'FC inventory'!$C$2:$C1000,"Return",'FC inventory'!$B$2:$B1000,$A5,'FC inventory'!$A$2:$A1000,"&lt;"&amp;Today())-SUMIFS('FC inventory'!N$2:N1000,'FC inventory'!$C$2:$C1000,"Spoilage",'FC inventory'!$B$2:$B1000,$A5,'FC inventory'!$A$2:$A1000,"&lt;"&amp;today()))+ (SUMIFS('FC inventory'!N$2:N1000,'FC inventory'!$C$2:$C1000,"In",'FC inventory'!$B$2:$B1000,$A5,'FC inventory'!$A$2:$A1000,Today()))-(SUMIFS('FC inventory'!N$2:N1000,'FC inventory'!$C$2:$C1000,"Out",'FC inventory'!$B$2:$B1000,$A5,'FC inventory'!$A$2:$A1000,Today()) - (SUMIFS('FC inventory'!N$2:N1000,'FC inventory'!$C$2:$C1000,"Retuned",'FC inventory'!$B$2:$B1000,$A5,'FC inventory'!$A$2:$A1000,Today()) - (SUMIFS('FC inventory'!N$2:N1000,'FC inventory'!$C$2:$C1000,"Spoilage",'FC inventory'!$B$2:$B1000,$A5,'FC inventory'!$A$2:$A1000,Today()))))</f>
        <v>0</v>
      </c>
      <c r="M5" s="29">
        <f>(SUMIFS('FC inventory'!O$2:O1000,'FC inventory'!$C$2:$C1000,"In",'FC inventory'!$B$2:$B1000,$A5,'FC inventory'!$A$2:$A1000,"&lt;"&amp;Today())-SUMIFS('FC inventory'!O$2:O1000,'FC inventory'!$C$2:$C1000,"Out",'FC inventory'!$B$2:$B1000,$A5,'FC inventory'!$A$2:$A1000,"&lt;"&amp;Today())+SUMIFS('FC inventory'!O$2:O1000,'FC inventory'!$C$2:$C1000,"Return",'FC inventory'!$B$2:$B1000,$A5,'FC inventory'!$A$2:$A1000,"&lt;"&amp;Today())-SUMIFS('FC inventory'!O$2:O1000,'FC inventory'!$C$2:$C1000,"Spoilage",'FC inventory'!$B$2:$B1000,$A5,'FC inventory'!$A$2:$A1000,"&lt;"&amp;today()))+ (SUMIFS('FC inventory'!O$2:O1000,'FC inventory'!$C$2:$C1000,"In",'FC inventory'!$B$2:$B1000,$A5,'FC inventory'!$A$2:$A1000,Today()))-(SUMIFS('FC inventory'!O$2:O1000,'FC inventory'!$C$2:$C1000,"Out",'FC inventory'!$B$2:$B1000,$A5,'FC inventory'!$A$2:$A1000,Today()) - (SUMIFS('FC inventory'!O$2:O1000,'FC inventory'!$C$2:$C1000,"Retuned",'FC inventory'!$B$2:$B1000,$A5,'FC inventory'!$A$2:$A1000,Today()) - (SUMIFS('FC inventory'!O$2:O1000,'FC inventory'!$C$2:$C1000,"Spoilage",'FC inventory'!$B$2:$B1000,$A5,'FC inventory'!$A$2:$A1000,Today()))))</f>
        <v>0</v>
      </c>
      <c r="N5" s="29">
        <f>(SUMIFS('FC inventory'!P$2:P1000,'FC inventory'!$C$2:$C1000,"In",'FC inventory'!$B$2:$B1000,$A5,'FC inventory'!$A$2:$A1000,"&lt;"&amp;Today())-SUMIFS('FC inventory'!P$2:P1000,'FC inventory'!$C$2:$C1000,"Out",'FC inventory'!$B$2:$B1000,$A5,'FC inventory'!$A$2:$A1000,"&lt;"&amp;Today())+SUMIFS('FC inventory'!P$2:P1000,'FC inventory'!$C$2:$C1000,"Return",'FC inventory'!$B$2:$B1000,$A5,'FC inventory'!$A$2:$A1000,"&lt;"&amp;Today())-SUMIFS('FC inventory'!P$2:P1000,'FC inventory'!$C$2:$C1000,"Spoilage",'FC inventory'!$B$2:$B1000,$A5,'FC inventory'!$A$2:$A1000,"&lt;"&amp;today()))+ (SUMIFS('FC inventory'!P$2:P1000,'FC inventory'!$C$2:$C1000,"In",'FC inventory'!$B$2:$B1000,$A5,'FC inventory'!$A$2:$A1000,Today()))-(SUMIFS('FC inventory'!P$2:P1000,'FC inventory'!$C$2:$C1000,"Out",'FC inventory'!$B$2:$B1000,$A5,'FC inventory'!$A$2:$A1000,Today()) - (SUMIFS('FC inventory'!P$2:P1000,'FC inventory'!$C$2:$C1000,"Retuned",'FC inventory'!$B$2:$B1000,$A5,'FC inventory'!$A$2:$A1000,Today()) - (SUMIFS('FC inventory'!P$2:P1000,'FC inventory'!$C$2:$C1000,"Spoilage",'FC inventory'!$B$2:$B1000,$A5,'FC inventory'!$A$2:$A1000,Today()))))</f>
        <v>0</v>
      </c>
      <c r="O5" s="29">
        <f>(SUMIFS('FC inventory'!Q$2:Q1000,'FC inventory'!$C$2:$C1000,"In",'FC inventory'!$B$2:$B1000,$A5,'FC inventory'!$A$2:$A1000,"&lt;"&amp;Today())-SUMIFS('FC inventory'!Q$2:Q1000,'FC inventory'!$C$2:$C1000,"Out",'FC inventory'!$B$2:$B1000,$A5,'FC inventory'!$A$2:$A1000,"&lt;"&amp;Today())+SUMIFS('FC inventory'!Q$2:Q1000,'FC inventory'!$C$2:$C1000,"Return",'FC inventory'!$B$2:$B1000,$A5,'FC inventory'!$A$2:$A1000,"&lt;"&amp;Today())-SUMIFS('FC inventory'!Q$2:Q1000,'FC inventory'!$C$2:$C1000,"Spoilage",'FC inventory'!$B$2:$B1000,$A5,'FC inventory'!$A$2:$A1000,"&lt;"&amp;today()))+ (SUMIFS('FC inventory'!Q$2:Q1000,'FC inventory'!$C$2:$C1000,"In",'FC inventory'!$B$2:$B1000,$A5,'FC inventory'!$A$2:$A1000,Today()))-(SUMIFS('FC inventory'!Q$2:Q1000,'FC inventory'!$C$2:$C1000,"Out",'FC inventory'!$B$2:$B1000,$A5,'FC inventory'!$A$2:$A1000,Today()) - (SUMIFS('FC inventory'!Q$2:Q1000,'FC inventory'!$C$2:$C1000,"Retuned",'FC inventory'!$B$2:$B1000,$A5,'FC inventory'!$A$2:$A1000,Today()) - (SUMIFS('FC inventory'!Q$2:Q1000,'FC inventory'!$C$2:$C1000,"Spoilage",'FC inventory'!$B$2:$B1000,$A5,'FC inventory'!$A$2:$A1000,Today()))))</f>
        <v>8</v>
      </c>
      <c r="P5" s="29">
        <f>(SUMIFS('FC inventory'!R$2:R1000,'FC inventory'!$C$2:$C1000,"In",'FC inventory'!$B$2:$B1000,$A5,'FC inventory'!$A$2:$A1000,"&lt;"&amp;Today())-SUMIFS('FC inventory'!R$2:R1000,'FC inventory'!$C$2:$C1000,"Out",'FC inventory'!$B$2:$B1000,$A5,'FC inventory'!$A$2:$A1000,"&lt;"&amp;Today())+SUMIFS('FC inventory'!R$2:R1000,'FC inventory'!$C$2:$C1000,"Return",'FC inventory'!$B$2:$B1000,$A5,'FC inventory'!$A$2:$A1000,"&lt;"&amp;Today())-SUMIFS('FC inventory'!R$2:R1000,'FC inventory'!$C$2:$C1000,"Spoilage",'FC inventory'!$B$2:$B1000,$A5,'FC inventory'!$A$2:$A1000,"&lt;"&amp;today()))+ (SUMIFS('FC inventory'!R$2:R1000,'FC inventory'!$C$2:$C1000,"In",'FC inventory'!$B$2:$B1000,$A5,'FC inventory'!$A$2:$A1000,Today()))-(SUMIFS('FC inventory'!R$2:R1000,'FC inventory'!$C$2:$C1000,"Out",'FC inventory'!$B$2:$B1000,$A5,'FC inventory'!$A$2:$A1000,Today()) - (SUMIFS('FC inventory'!R$2:R1000,'FC inventory'!$C$2:$C1000,"Retuned",'FC inventory'!$B$2:$B1000,$A5,'FC inventory'!$A$2:$A1000,Today()) - (SUMIFS('FC inventory'!R$2:R1000,'FC inventory'!$C$2:$C1000,"Spoilage",'FC inventory'!$B$2:$B1000,$A5,'FC inventory'!$A$2:$A1000,Today()))))</f>
        <v>8</v>
      </c>
      <c r="Q5" s="29">
        <f>(SUMIFS('FC inventory'!S$2:S1000,'FC inventory'!$C$2:$C1000,"In",'FC inventory'!$B$2:$B1000,$A5,'FC inventory'!$A$2:$A1000,"&lt;"&amp;Today())-SUMIFS('FC inventory'!S$2:S1000,'FC inventory'!$C$2:$C1000,"Out",'FC inventory'!$B$2:$B1000,$A5,'FC inventory'!$A$2:$A1000,"&lt;"&amp;Today())+SUMIFS('FC inventory'!S$2:S1000,'FC inventory'!$C$2:$C1000,"Return",'FC inventory'!$B$2:$B1000,$A5,'FC inventory'!$A$2:$A1000,"&lt;"&amp;Today())-SUMIFS('FC inventory'!S$2:S1000,'FC inventory'!$C$2:$C1000,"Spoilage",'FC inventory'!$B$2:$B1000,$A5,'FC inventory'!$A$2:$A1000,"&lt;"&amp;today()))+ (SUMIFS('FC inventory'!S$2:S1000,'FC inventory'!$C$2:$C1000,"In",'FC inventory'!$B$2:$B1000,$A5,'FC inventory'!$A$2:$A1000,Today()))-(SUMIFS('FC inventory'!S$2:S1000,'FC inventory'!$C$2:$C1000,"Out",'FC inventory'!$B$2:$B1000,$A5,'FC inventory'!$A$2:$A1000,Today()) - (SUMIFS('FC inventory'!S$2:S1000,'FC inventory'!$C$2:$C1000,"Retuned",'FC inventory'!$B$2:$B1000,$A5,'FC inventory'!$A$2:$A1000,Today()) - (SUMIFS('FC inventory'!S$2:S1000,'FC inventory'!$C$2:$C1000,"Spoilage",'FC inventory'!$B$2:$B1000,$A5,'FC inventory'!$A$2:$A1000,Today()))))</f>
        <v>0</v>
      </c>
      <c r="R5" s="29">
        <f>(SUMIFS('FC inventory'!T$2:T1000,'FC inventory'!$C$2:$C1000,"In",'FC inventory'!$B$2:$B1000,$A5,'FC inventory'!$A$2:$A1000,"&lt;"&amp;Today())-SUMIFS('FC inventory'!T$2:T1000,'FC inventory'!$C$2:$C1000,"Out",'FC inventory'!$B$2:$B1000,$A5,'FC inventory'!$A$2:$A1000,"&lt;"&amp;Today())+SUMIFS('FC inventory'!T$2:T1000,'FC inventory'!$C$2:$C1000,"Return",'FC inventory'!$B$2:$B1000,$A5,'FC inventory'!$A$2:$A1000,"&lt;"&amp;Today())-SUMIFS('FC inventory'!T$2:T1000,'FC inventory'!$C$2:$C1000,"Spoilage",'FC inventory'!$B$2:$B1000,$A5,'FC inventory'!$A$2:$A1000,"&lt;"&amp;today()))+ (SUMIFS('FC inventory'!T$2:T1000,'FC inventory'!$C$2:$C1000,"In",'FC inventory'!$B$2:$B1000,$A5,'FC inventory'!$A$2:$A1000,Today()))-(SUMIFS('FC inventory'!T$2:T1000,'FC inventory'!$C$2:$C1000,"Out",'FC inventory'!$B$2:$B1000,$A5,'FC inventory'!$A$2:$A1000,Today()) - (SUMIFS('FC inventory'!T$2:T1000,'FC inventory'!$C$2:$C1000,"Retuned",'FC inventory'!$B$2:$B1000,$A5,'FC inventory'!$A$2:$A1000,Today()) - (SUMIFS('FC inventory'!T$2:T1000,'FC inventory'!$C$2:$C1000,"Spoilage",'FC inventory'!$B$2:$B1000,$A5,'FC inventory'!$A$2:$A1000,Today()))))</f>
        <v>0</v>
      </c>
      <c r="S5" s="29">
        <f>(SUMIFS('FC inventory'!U$2:U1000,'FC inventory'!$C$2:$C1000,"In",'FC inventory'!$B$2:$B1000,$A5,'FC inventory'!$A$2:$A1000,"&lt;"&amp;Today())-SUMIFS('FC inventory'!U$2:U1000,'FC inventory'!$C$2:$C1000,"Out",'FC inventory'!$B$2:$B1000,$A5,'FC inventory'!$A$2:$A1000,"&lt;"&amp;Today())+SUMIFS('FC inventory'!U$2:U1000,'FC inventory'!$C$2:$C1000,"Return",'FC inventory'!$B$2:$B1000,$A5,'FC inventory'!$A$2:$A1000,"&lt;"&amp;Today())-SUMIFS('FC inventory'!U$2:U1000,'FC inventory'!$C$2:$C1000,"Spoilage",'FC inventory'!$B$2:$B1000,$A5,'FC inventory'!$A$2:$A1000,"&lt;"&amp;today()))+ (SUMIFS('FC inventory'!U$2:U1000,'FC inventory'!$C$2:$C1000,"In",'FC inventory'!$B$2:$B1000,$A5,'FC inventory'!$A$2:$A1000,Today()))-(SUMIFS('FC inventory'!U$2:U1000,'FC inventory'!$C$2:$C1000,"Out",'FC inventory'!$B$2:$B1000,$A5,'FC inventory'!$A$2:$A1000,Today()) - (SUMIFS('FC inventory'!U$2:U1000,'FC inventory'!$C$2:$C1000,"Retuned",'FC inventory'!$B$2:$B1000,$A5,'FC inventory'!$A$2:$A1000,Today()) - (SUMIFS('FC inventory'!U$2:U1000,'FC inventory'!$C$2:$C1000,"Spoilage",'FC inventory'!$B$2:$B1000,$A5,'FC inventory'!$A$2:$A1000,Today()))))</f>
        <v>0</v>
      </c>
      <c r="T5" s="29">
        <f>(SUMIFS('FC inventory'!V$2:V1000,'FC inventory'!$C$2:$C1000,"In",'FC inventory'!$B$2:$B1000,$A5,'FC inventory'!$A$2:$A1000,"&lt;"&amp;Today())-SUMIFS('FC inventory'!V$2:V1000,'FC inventory'!$C$2:$C1000,"Out",'FC inventory'!$B$2:$B1000,$A5,'FC inventory'!$A$2:$A1000,"&lt;"&amp;Today())+SUMIFS('FC inventory'!V$2:V1000,'FC inventory'!$C$2:$C1000,"Return",'FC inventory'!$B$2:$B1000,$A5,'FC inventory'!$A$2:$A1000,"&lt;"&amp;Today())-SUMIFS('FC inventory'!V$2:V1000,'FC inventory'!$C$2:$C1000,"Spoilage",'FC inventory'!$B$2:$B1000,$A5,'FC inventory'!$A$2:$A1000,"&lt;"&amp;today()))+ (SUMIFS('FC inventory'!V$2:V1000,'FC inventory'!$C$2:$C1000,"In",'FC inventory'!$B$2:$B1000,$A5,'FC inventory'!$A$2:$A1000,Today()))-(SUMIFS('FC inventory'!V$2:V1000,'FC inventory'!$C$2:$C1000,"Out",'FC inventory'!$B$2:$B1000,$A5,'FC inventory'!$A$2:$A1000,Today()) - (SUMIFS('FC inventory'!V$2:V1000,'FC inventory'!$C$2:$C1000,"Retuned",'FC inventory'!$B$2:$B1000,$A5,'FC inventory'!$A$2:$A1000,Today()) - (SUMIFS('FC inventory'!V$2:V1000,'FC inventory'!$C$2:$C1000,"Spoilage",'FC inventory'!$B$2:$B1000,$A5,'FC inventory'!$A$2:$A1000,Today()))))</f>
        <v>0</v>
      </c>
      <c r="U5" s="29">
        <f>(SUMIFS('FC inventory'!W$2:W1000,'FC inventory'!$C$2:$C1000,"In",'FC inventory'!$B$2:$B1000,$A5,'FC inventory'!$A$2:$A1000,"&lt;"&amp;Today())-SUMIFS('FC inventory'!W$2:W1000,'FC inventory'!$C$2:$C1000,"Out",'FC inventory'!$B$2:$B1000,$A5,'FC inventory'!$A$2:$A1000,"&lt;"&amp;Today())+SUMIFS('FC inventory'!W$2:W1000,'FC inventory'!$C$2:$C1000,"Return",'FC inventory'!$B$2:$B1000,$A5,'FC inventory'!$A$2:$A1000,"&lt;"&amp;Today())-SUMIFS('FC inventory'!W$2:W1000,'FC inventory'!$C$2:$C1000,"Spoilage",'FC inventory'!$B$2:$B1000,$A5,'FC inventory'!$A$2:$A1000,"&lt;"&amp;today()))+ (SUMIFS('FC inventory'!W$2:W1000,'FC inventory'!$C$2:$C1000,"In",'FC inventory'!$B$2:$B1000,$A5,'FC inventory'!$A$2:$A1000,Today()))-(SUMIFS('FC inventory'!W$2:W1000,'FC inventory'!$C$2:$C1000,"Out",'FC inventory'!$B$2:$B1000,$A5,'FC inventory'!$A$2:$A1000,Today()) - (SUMIFS('FC inventory'!W$2:W1000,'FC inventory'!$C$2:$C1000,"Retuned",'FC inventory'!$B$2:$B1000,$A5,'FC inventory'!$A$2:$A1000,Today()) - (SUMIFS('FC inventory'!W$2:W1000,'FC inventory'!$C$2:$C1000,"Spoilage",'FC inventory'!$B$2:$B1000,$A5,'FC inventory'!$A$2:$A1000,Today()))))</f>
        <v>20</v>
      </c>
      <c r="V5" s="29">
        <f>(SUMIFS('FC inventory'!X$2:X1000,'FC inventory'!$C$2:$C1000,"In",'FC inventory'!$B$2:$B1000,$A5,'FC inventory'!$A$2:$A1000,"&lt;"&amp;Today())-SUMIFS('FC inventory'!X$2:X1000,'FC inventory'!$C$2:$C1000,"Out",'FC inventory'!$B$2:$B1000,$A5,'FC inventory'!$A$2:$A1000,"&lt;"&amp;Today())+SUMIFS('FC inventory'!X$2:X1000,'FC inventory'!$C$2:$C1000,"Return",'FC inventory'!$B$2:$B1000,$A5,'FC inventory'!$A$2:$A1000,"&lt;"&amp;Today())-SUMIFS('FC inventory'!X$2:X1000,'FC inventory'!$C$2:$C1000,"Spoilage",'FC inventory'!$B$2:$B1000,$A5,'FC inventory'!$A$2:$A1000,"&lt;"&amp;today()))+ (SUMIFS('FC inventory'!X$2:X1000,'FC inventory'!$C$2:$C1000,"In",'FC inventory'!$B$2:$B1000,$A5,'FC inventory'!$A$2:$A1000,Today()))-(SUMIFS('FC inventory'!X$2:X1000,'FC inventory'!$C$2:$C1000,"Out",'FC inventory'!$B$2:$B1000,$A5,'FC inventory'!$A$2:$A1000,Today()) - (SUMIFS('FC inventory'!X$2:X1000,'FC inventory'!$C$2:$C1000,"Retuned",'FC inventory'!$B$2:$B1000,$A5,'FC inventory'!$A$2:$A1000,Today()) - (SUMIFS('FC inventory'!X$2:X1000,'FC inventory'!$C$2:$C1000,"Spoilage",'FC inventory'!$B$2:$B1000,$A5,'FC inventory'!$A$2:$A1000,Today()))))</f>
        <v>0</v>
      </c>
      <c r="W5" s="29">
        <f>(SUMIFS('FC inventory'!Y$2:Y1000,'FC inventory'!$C$2:$C1000,"In",'FC inventory'!$B$2:$B1000,$A5,'FC inventory'!$A$2:$A1000,"&lt;"&amp;Today())-SUMIFS('FC inventory'!Y$2:Y1000,'FC inventory'!$C$2:$C1000,"Out",'FC inventory'!$B$2:$B1000,$A5,'FC inventory'!$A$2:$A1000,"&lt;"&amp;Today())+SUMIFS('FC inventory'!Y$2:Y1000,'FC inventory'!$C$2:$C1000,"Return",'FC inventory'!$B$2:$B1000,$A5,'FC inventory'!$A$2:$A1000,"&lt;"&amp;Today())-SUMIFS('FC inventory'!Y$2:Y1000,'FC inventory'!$C$2:$C1000,"Spoilage",'FC inventory'!$B$2:$B1000,$A5,'FC inventory'!$A$2:$A1000,"&lt;"&amp;today()))+ (SUMIFS('FC inventory'!Y$2:Y1000,'FC inventory'!$C$2:$C1000,"In",'FC inventory'!$B$2:$B1000,$A5,'FC inventory'!$A$2:$A1000,Today()))-(SUMIFS('FC inventory'!Y$2:Y1000,'FC inventory'!$C$2:$C1000,"Out",'FC inventory'!$B$2:$B1000,$A5,'FC inventory'!$A$2:$A1000,Today()) - (SUMIFS('FC inventory'!Y$2:Y1000,'FC inventory'!$C$2:$C1000,"Retuned",'FC inventory'!$B$2:$B1000,$A5,'FC inventory'!$A$2:$A1000,Today()) - (SUMIFS('FC inventory'!Y$2:Y1000,'FC inventory'!$C$2:$C1000,"Spoilage",'FC inventory'!$B$2:$B1000,$A5,'FC inventory'!$A$2:$A1000,Today()))))</f>
        <v>0</v>
      </c>
      <c r="X5" s="29">
        <f>(SUMIFS('FC inventory'!Z$2:Z1000,'FC inventory'!$C$2:$C1000,"In",'FC inventory'!$B$2:$B1000,$A5,'FC inventory'!$A$2:$A1000,"&lt;"&amp;Today())-SUMIFS('FC inventory'!Z$2:Z1000,'FC inventory'!$C$2:$C1000,"Out",'FC inventory'!$B$2:$B1000,$A5,'FC inventory'!$A$2:$A1000,"&lt;"&amp;Today())+SUMIFS('FC inventory'!Z$2:Z1000,'FC inventory'!$C$2:$C1000,"Return",'FC inventory'!$B$2:$B1000,$A5,'FC inventory'!$A$2:$A1000,"&lt;"&amp;Today())-SUMIFS('FC inventory'!Z$2:Z1000,'FC inventory'!$C$2:$C1000,"Spoilage",'FC inventory'!$B$2:$B1000,$A5,'FC inventory'!$A$2:$A1000,"&lt;"&amp;today()))+ (SUMIFS('FC inventory'!Z$2:Z1000,'FC inventory'!$C$2:$C1000,"In",'FC inventory'!$B$2:$B1000,$A5,'FC inventory'!$A$2:$A1000,Today()))-(SUMIFS('FC inventory'!Z$2:Z1000,'FC inventory'!$C$2:$C1000,"Out",'FC inventory'!$B$2:$B1000,$A5,'FC inventory'!$A$2:$A1000,Today()) - (SUMIFS('FC inventory'!Z$2:Z1000,'FC inventory'!$C$2:$C1000,"Retuned",'FC inventory'!$B$2:$B1000,$A5,'FC inventory'!$A$2:$A1000,Today()) - (SUMIFS('FC inventory'!Z$2:Z1000,'FC inventory'!$C$2:$C1000,"Spoilage",'FC inventory'!$B$2:$B1000,$A5,'FC inventory'!$A$2:$A1000,Today()))))</f>
        <v>0</v>
      </c>
      <c r="Y5" s="29">
        <f>(SUMIFS('FC inventory'!AA$2:AA1000,'FC inventory'!$C$2:$C1000,"In",'FC inventory'!$B$2:$B1000,$A5,'FC inventory'!$A$2:$A1000,"&lt;"&amp;Today())-SUMIFS('FC inventory'!AA$2:AA1000,'FC inventory'!$C$2:$C1000,"Out",'FC inventory'!$B$2:$B1000,$A5,'FC inventory'!$A$2:$A1000,"&lt;"&amp;Today())+SUMIFS('FC inventory'!AA$2:AA1000,'FC inventory'!$C$2:$C1000,"Return",'FC inventory'!$B$2:$B1000,$A5,'FC inventory'!$A$2:$A1000,"&lt;"&amp;Today())-SUMIFS('FC inventory'!AA$2:AA1000,'FC inventory'!$C$2:$C1000,"Spoilage",'FC inventory'!$B$2:$B1000,$A5,'FC inventory'!$A$2:$A1000,"&lt;"&amp;today()))+ (SUMIFS('FC inventory'!AA$2:AA1000,'FC inventory'!$C$2:$C1000,"In",'FC inventory'!$B$2:$B1000,$A5,'FC inventory'!$A$2:$A1000,Today()))-(SUMIFS('FC inventory'!AA$2:AA1000,'FC inventory'!$C$2:$C1000,"Out",'FC inventory'!$B$2:$B1000,$A5,'FC inventory'!$A$2:$A1000,Today()) - (SUMIFS('FC inventory'!AA$2:AA1000,'FC inventory'!$C$2:$C1000,"Retuned",'FC inventory'!$B$2:$B1000,$A5,'FC inventory'!$A$2:$A1000,Today()) - (SUMIFS('FC inventory'!AA$2:AA1000,'FC inventory'!$C$2:$C1000,"Spoilage",'FC inventory'!$B$2:$B1000,$A5,'FC inventory'!$A$2:$A1000,Today()))))</f>
        <v>0</v>
      </c>
      <c r="Z5" s="29">
        <f>(SUMIFS('FC inventory'!AB$2:AB1000,'FC inventory'!$C$2:$C1000,"In",'FC inventory'!$B$2:$B1000,$A5,'FC inventory'!$A$2:$A1000,"&lt;"&amp;Today())-SUMIFS('FC inventory'!AB$2:AB1000,'FC inventory'!$C$2:$C1000,"Out",'FC inventory'!$B$2:$B1000,$A5,'FC inventory'!$A$2:$A1000,"&lt;"&amp;Today())+SUMIFS('FC inventory'!AB$2:AB1000,'FC inventory'!$C$2:$C1000,"Return",'FC inventory'!$B$2:$B1000,$A5,'FC inventory'!$A$2:$A1000,"&lt;"&amp;Today())-SUMIFS('FC inventory'!AB$2:AB1000,'FC inventory'!$C$2:$C1000,"Spoilage",'FC inventory'!$B$2:$B1000,$A5,'FC inventory'!$A$2:$A1000,"&lt;"&amp;today()))+ (SUMIFS('FC inventory'!AB$2:AB1000,'FC inventory'!$C$2:$C1000,"In",'FC inventory'!$B$2:$B1000,$A5,'FC inventory'!$A$2:$A1000,Today()))-(SUMIFS('FC inventory'!AB$2:AB1000,'FC inventory'!$C$2:$C1000,"Out",'FC inventory'!$B$2:$B1000,$A5,'FC inventory'!$A$2:$A1000,Today()) - (SUMIFS('FC inventory'!AB$2:AB1000,'FC inventory'!$C$2:$C1000,"Retuned",'FC inventory'!$B$2:$B1000,$A5,'FC inventory'!$A$2:$A1000,Today()) - (SUMIFS('FC inventory'!AB$2:AB1000,'FC inventory'!$C$2:$C1000,"Spoilage",'FC inventory'!$B$2:$B1000,$A5,'FC inventory'!$A$2:$A1000,Today()))))</f>
        <v>1</v>
      </c>
      <c r="AA5" s="29">
        <f>(SUMIFS('FC inventory'!AC$2:AC1000,'FC inventory'!$C$2:$C1000,"In",'FC inventory'!$B$2:$B1000,$A5,'FC inventory'!$A$2:$A1000,"&lt;"&amp;Today())-SUMIFS('FC inventory'!AC$2:AC1000,'FC inventory'!$C$2:$C1000,"Out",'FC inventory'!$B$2:$B1000,$A5,'FC inventory'!$A$2:$A1000,"&lt;"&amp;Today())+SUMIFS('FC inventory'!AC$2:AC1000,'FC inventory'!$C$2:$C1000,"Return",'FC inventory'!$B$2:$B1000,$A5,'FC inventory'!$A$2:$A1000,"&lt;"&amp;Today())-SUMIFS('FC inventory'!AC$2:AC1000,'FC inventory'!$C$2:$C1000,"Spoilage",'FC inventory'!$B$2:$B1000,$A5,'FC inventory'!$A$2:$A1000,"&lt;"&amp;today()))+ (SUMIFS('FC inventory'!AC$2:AC1000,'FC inventory'!$C$2:$C1000,"In",'FC inventory'!$B$2:$B1000,$A5,'FC inventory'!$A$2:$A1000,Today()))-(SUMIFS('FC inventory'!AC$2:AC1000,'FC inventory'!$C$2:$C1000,"Out",'FC inventory'!$B$2:$B1000,$A5,'FC inventory'!$A$2:$A1000,Today()) - (SUMIFS('FC inventory'!AC$2:AC1000,'FC inventory'!$C$2:$C1000,"Retuned",'FC inventory'!$B$2:$B1000,$A5,'FC inventory'!$A$2:$A1000,Today()) - (SUMIFS('FC inventory'!AC$2:AC1000,'FC inventory'!$C$2:$C1000,"Spoilage",'FC inventory'!$B$2:$B1000,$A5,'FC inventory'!$A$2:$A1000,Today()))))</f>
        <v>0</v>
      </c>
      <c r="AB5" s="29">
        <f>(SUMIFS('FC inventory'!AD$2:AD1000,'FC inventory'!$C$2:$C1000,"In",'FC inventory'!$B$2:$B1000,$A5,'FC inventory'!$A$2:$A1000,"&lt;"&amp;Today())-SUMIFS('FC inventory'!AD$2:AD1000,'FC inventory'!$C$2:$C1000,"Out",'FC inventory'!$B$2:$B1000,$A5,'FC inventory'!$A$2:$A1000,"&lt;"&amp;Today())+SUMIFS('FC inventory'!AD$2:AD1000,'FC inventory'!$C$2:$C1000,"Return",'FC inventory'!$B$2:$B1000,$A5,'FC inventory'!$A$2:$A1000,"&lt;"&amp;Today())-SUMIFS('FC inventory'!AD$2:AD1000,'FC inventory'!$C$2:$C1000,"Spoilage",'FC inventory'!$B$2:$B1000,$A5,'FC inventory'!$A$2:$A1000,"&lt;"&amp;today()))+ (SUMIFS('FC inventory'!AD$2:AD1000,'FC inventory'!$C$2:$C1000,"In",'FC inventory'!$B$2:$B1000,$A5,'FC inventory'!$A$2:$A1000,Today()))-(SUMIFS('FC inventory'!AD$2:AD1000,'FC inventory'!$C$2:$C1000,"Out",'FC inventory'!$B$2:$B1000,$A5,'FC inventory'!$A$2:$A1000,Today()) - (SUMIFS('FC inventory'!AD$2:AD1000,'FC inventory'!$C$2:$C1000,"Retuned",'FC inventory'!$B$2:$B1000,$A5,'FC inventory'!$A$2:$A1000,Today()) - (SUMIFS('FC inventory'!AD$2:AD1000,'FC inventory'!$C$2:$C1000,"Spoilage",'FC inventory'!$B$2:$B1000,$A5,'FC inventory'!$A$2:$A1000,Today()))))</f>
        <v>0</v>
      </c>
      <c r="AC5" s="29">
        <f>(SUMIFS('FC inventory'!AE$2:AE1000,'FC inventory'!$C$2:$C1000,"In",'FC inventory'!$B$2:$B1000,$A5,'FC inventory'!$A$2:$A1000,"&lt;"&amp;Today())-SUMIFS('FC inventory'!AE$2:AE1000,'FC inventory'!$C$2:$C1000,"Out",'FC inventory'!$B$2:$B1000,$A5,'FC inventory'!$A$2:$A1000,"&lt;"&amp;Today())+SUMIFS('FC inventory'!AE$2:AE1000,'FC inventory'!$C$2:$C1000,"Return",'FC inventory'!$B$2:$B1000,$A5,'FC inventory'!$A$2:$A1000,"&lt;"&amp;Today())-SUMIFS('FC inventory'!AE$2:AE1000,'FC inventory'!$C$2:$C1000,"Spoilage",'FC inventory'!$B$2:$B1000,$A5,'FC inventory'!$A$2:$A1000,"&lt;"&amp;today()))+ (SUMIFS('FC inventory'!AE$2:AE1000,'FC inventory'!$C$2:$C1000,"In",'FC inventory'!$B$2:$B1000,$A5,'FC inventory'!$A$2:$A1000,Today()))-(SUMIFS('FC inventory'!AE$2:AE1000,'FC inventory'!$C$2:$C1000,"Out",'FC inventory'!$B$2:$B1000,$A5,'FC inventory'!$A$2:$A1000,Today()) - (SUMIFS('FC inventory'!AE$2:AE1000,'FC inventory'!$C$2:$C1000,"Retuned",'FC inventory'!$B$2:$B1000,$A5,'FC inventory'!$A$2:$A1000,Today()) - (SUMIFS('FC inventory'!AE$2:AE1000,'FC inventory'!$C$2:$C1000,"Spoilage",'FC inventory'!$B$2:$B1000,$A5,'FC inventory'!$A$2:$A1000,Today()))))</f>
        <v>0</v>
      </c>
      <c r="AD5" s="29">
        <f>(SUMIFS('FC inventory'!AF$2:AF1000,'FC inventory'!$C$2:$C1000,"In",'FC inventory'!$B$2:$B1000,$A5,'FC inventory'!$A$2:$A1000,"&lt;"&amp;Today())-SUMIFS('FC inventory'!AF$2:AF1000,'FC inventory'!$C$2:$C1000,"Out",'FC inventory'!$B$2:$B1000,$A5,'FC inventory'!$A$2:$A1000,"&lt;"&amp;Today())+SUMIFS('FC inventory'!AF$2:AF1000,'FC inventory'!$C$2:$C1000,"Return",'FC inventory'!$B$2:$B1000,$A5,'FC inventory'!$A$2:$A1000,"&lt;"&amp;Today())-SUMIFS('FC inventory'!AF$2:AF1000,'FC inventory'!$C$2:$C1000,"Spoilage",'FC inventory'!$B$2:$B1000,$A5,'FC inventory'!$A$2:$A1000,"&lt;"&amp;today()))+ (SUMIFS('FC inventory'!AF$2:AF1000,'FC inventory'!$C$2:$C1000,"In",'FC inventory'!$B$2:$B1000,$A5,'FC inventory'!$A$2:$A1000,Today()))-(SUMIFS('FC inventory'!AF$2:AF1000,'FC inventory'!$C$2:$C1000,"Out",'FC inventory'!$B$2:$B1000,$A5,'FC inventory'!$A$2:$A1000,Today()) - (SUMIFS('FC inventory'!AF$2:AF1000,'FC inventory'!$C$2:$C1000,"Retuned",'FC inventory'!$B$2:$B1000,$A5,'FC inventory'!$A$2:$A1000,Today()) - (SUMIFS('FC inventory'!AF$2:AF1000,'FC inventory'!$C$2:$C1000,"Spoilage",'FC inventory'!$B$2:$B1000,$A5,'FC inventory'!$A$2:$A1000,Today()))))</f>
        <v>0</v>
      </c>
      <c r="AE5" s="29">
        <f>(SUMIFS('FC inventory'!AG$2:AG1000,'FC inventory'!$C$2:$C1000,"In",'FC inventory'!$B$2:$B1000,$A5,'FC inventory'!$A$2:$A1000,"&lt;"&amp;Today())-SUMIFS('FC inventory'!AG$2:AG1000,'FC inventory'!$C$2:$C1000,"Out",'FC inventory'!$B$2:$B1000,$A5,'FC inventory'!$A$2:$A1000,"&lt;"&amp;Today())+SUMIFS('FC inventory'!AG$2:AG1000,'FC inventory'!$C$2:$C1000,"Return",'FC inventory'!$B$2:$B1000,$A5,'FC inventory'!$A$2:$A1000,"&lt;"&amp;Today())-SUMIFS('FC inventory'!AG$2:AG1000,'FC inventory'!$C$2:$C1000,"Spoilage",'FC inventory'!$B$2:$B1000,$A5,'FC inventory'!$A$2:$A1000,"&lt;"&amp;today()))+ (SUMIFS('FC inventory'!AG$2:AG1000,'FC inventory'!$C$2:$C1000,"In",'FC inventory'!$B$2:$B1000,$A5,'FC inventory'!$A$2:$A1000,Today()))-(SUMIFS('FC inventory'!AG$2:AG1000,'FC inventory'!$C$2:$C1000,"Out",'FC inventory'!$B$2:$B1000,$A5,'FC inventory'!$A$2:$A1000,Today()) - (SUMIFS('FC inventory'!AG$2:AG1000,'FC inventory'!$C$2:$C1000,"Retuned",'FC inventory'!$B$2:$B1000,$A5,'FC inventory'!$A$2:$A1000,Today()) - (SUMIFS('FC inventory'!AG$2:AG1000,'FC inventory'!$C$2:$C1000,"Spoilage",'FC inventory'!$B$2:$B1000,$A5,'FC inventory'!$A$2:$A1000,Today()))))</f>
        <v>0</v>
      </c>
      <c r="AF5" s="29">
        <f>(SUMIFS('FC inventory'!AH$2:AH1000,'FC inventory'!$C$2:$C1000,"In",'FC inventory'!$B$2:$B1000,$A5,'FC inventory'!$A$2:$A1000,"&lt;"&amp;Today())-SUMIFS('FC inventory'!AH$2:AH1000,'FC inventory'!$C$2:$C1000,"Out",'FC inventory'!$B$2:$B1000,$A5,'FC inventory'!$A$2:$A1000,"&lt;"&amp;Today())+SUMIFS('FC inventory'!AH$2:AH1000,'FC inventory'!$C$2:$C1000,"Return",'FC inventory'!$B$2:$B1000,$A5,'FC inventory'!$A$2:$A1000,"&lt;"&amp;Today())-SUMIFS('FC inventory'!AH$2:AH1000,'FC inventory'!$C$2:$C1000,"Spoilage",'FC inventory'!$B$2:$B1000,$A5,'FC inventory'!$A$2:$A1000,"&lt;"&amp;today()))+ (SUMIFS('FC inventory'!AH$2:AH1000,'FC inventory'!$C$2:$C1000,"In",'FC inventory'!$B$2:$B1000,$A5,'FC inventory'!$A$2:$A1000,Today()))-(SUMIFS('FC inventory'!AH$2:AH1000,'FC inventory'!$C$2:$C1000,"Out",'FC inventory'!$B$2:$B1000,$A5,'FC inventory'!$A$2:$A1000,Today()) - (SUMIFS('FC inventory'!AH$2:AH1000,'FC inventory'!$C$2:$C1000,"Retuned",'FC inventory'!$B$2:$B1000,$A5,'FC inventory'!$A$2:$A1000,Today()) - (SUMIFS('FC inventory'!AH$2:AH1000,'FC inventory'!$C$2:$C1000,"Spoilage",'FC inventory'!$B$2:$B1000,$A5,'FC inventory'!$A$2:$A1000,Today()))))</f>
        <v>0</v>
      </c>
    </row>
    <row r="6">
      <c r="A6" s="28" t="s">
        <v>47</v>
      </c>
      <c r="B6" s="29">
        <f>(SUMIFS('FC inventory'!D$2:D1000,'FC inventory'!$C$2:$C1000,"In",'FC inventory'!$B$2:$B1000,$A6,'FC inventory'!$A$2:$A1000,"&lt;"&amp;Today())-SUMIFS('FC inventory'!D$2:D1000,'FC inventory'!$C$2:$C1000,"Out",'FC inventory'!$B$2:$B1000,$A6,'FC inventory'!$A$2:$A1000,"&lt;"&amp;Today())+SUMIFS('FC inventory'!D$2:D1000,'FC inventory'!$C$2:$C1000,"Return",'FC inventory'!$B$2:$B1000,$A6,'FC inventory'!$A$2:$A1000,"&lt;"&amp;Today())-SUMIFS('FC inventory'!D$2:D1000,'FC inventory'!$C$2:$C1000,"Spoilage",'FC inventory'!$B$2:$B1000,$A6,'FC inventory'!$A$2:$A1000,"&lt;"&amp;today()))+ (SUMIFS('FC inventory'!D$2:D1000,'FC inventory'!$C$2:$C1000,"In",'FC inventory'!$B$2:$B1000,$A6,'FC inventory'!$A$2:$A1000,Today()))-(SUMIFS('FC inventory'!D$2:D1000,'FC inventory'!$C$2:$C1000,"Out",'FC inventory'!$B$2:$B1000,$A6,'FC inventory'!$A$2:$A1000,Today()) - (SUMIFS('FC inventory'!D$2:D1000,'FC inventory'!$C$2:$C1000,"Retuned",'FC inventory'!$B$2:$B1000,$A6,'FC inventory'!$A$2:$A1000,Today()) - (SUMIFS('FC inventory'!D$2:D1000,'FC inventory'!$C$2:$C1000,"Spoilage",'FC inventory'!$B$2:$B1000,$A6,'FC inventory'!$A$2:$A1000,Today()))))</f>
        <v>0</v>
      </c>
      <c r="C6" s="29">
        <f>(SUMIFS('FC inventory'!E$2:E1000,'FC inventory'!$C$2:$C1000,"In",'FC inventory'!$B$2:$B1000,$A6,'FC inventory'!$A$2:$A1000,"&lt;"&amp;Today())-SUMIFS('FC inventory'!E$2:E1000,'FC inventory'!$C$2:$C1000,"Out",'FC inventory'!$B$2:$B1000,$A6,'FC inventory'!$A$2:$A1000,"&lt;"&amp;Today())+SUMIFS('FC inventory'!E$2:E1000,'FC inventory'!$C$2:$C1000,"Return",'FC inventory'!$B$2:$B1000,$A6,'FC inventory'!$A$2:$A1000,"&lt;"&amp;Today())-SUMIFS('FC inventory'!E$2:E1000,'FC inventory'!$C$2:$C1000,"Spoilage",'FC inventory'!$B$2:$B1000,$A6,'FC inventory'!$A$2:$A1000,"&lt;"&amp;today()))+ (SUMIFS('FC inventory'!E$2:E1000,'FC inventory'!$C$2:$C1000,"In",'FC inventory'!$B$2:$B1000,$A6,'FC inventory'!$A$2:$A1000,Today()))-(SUMIFS('FC inventory'!E$2:E1000,'FC inventory'!$C$2:$C1000,"Out",'FC inventory'!$B$2:$B1000,$A6,'FC inventory'!$A$2:$A1000,Today()) - (SUMIFS('FC inventory'!E$2:E1000,'FC inventory'!$C$2:$C1000,"Retuned",'FC inventory'!$B$2:$B1000,$A6,'FC inventory'!$A$2:$A1000,Today()) - (SUMIFS('FC inventory'!E$2:E1000,'FC inventory'!$C$2:$C1000,"Spoilage",'FC inventory'!$B$2:$B1000,$A6,'FC inventory'!$A$2:$A1000,Today()))))</f>
        <v>0</v>
      </c>
      <c r="D6" s="29">
        <f>(SUMIFS('FC inventory'!F$2:F1000,'FC inventory'!$C$2:$C1000,"In",'FC inventory'!$B$2:$B1000,$A6,'FC inventory'!$A$2:$A1000,"&lt;"&amp;Today())-SUMIFS('FC inventory'!F$2:F1000,'FC inventory'!$C$2:$C1000,"Out",'FC inventory'!$B$2:$B1000,$A6,'FC inventory'!$A$2:$A1000,"&lt;"&amp;Today())+SUMIFS('FC inventory'!F$2:F1000,'FC inventory'!$C$2:$C1000,"Return",'FC inventory'!$B$2:$B1000,$A6,'FC inventory'!$A$2:$A1000,"&lt;"&amp;Today())-SUMIFS('FC inventory'!F$2:F1000,'FC inventory'!$C$2:$C1000,"Spoilage",'FC inventory'!$B$2:$B1000,$A6,'FC inventory'!$A$2:$A1000,"&lt;"&amp;today()))+ (SUMIFS('FC inventory'!F$2:F1000,'FC inventory'!$C$2:$C1000,"In",'FC inventory'!$B$2:$B1000,$A6,'FC inventory'!$A$2:$A1000,Today()))-(SUMIFS('FC inventory'!F$2:F1000,'FC inventory'!$C$2:$C1000,"Out",'FC inventory'!$B$2:$B1000,$A6,'FC inventory'!$A$2:$A1000,Today()) - (SUMIFS('FC inventory'!F$2:F1000,'FC inventory'!$C$2:$C1000,"Retuned",'FC inventory'!$B$2:$B1000,$A6,'FC inventory'!$A$2:$A1000,Today()) - (SUMIFS('FC inventory'!F$2:F1000,'FC inventory'!$C$2:$C1000,"Spoilage",'FC inventory'!$B$2:$B1000,$A6,'FC inventory'!$A$2:$A1000,Today()))))</f>
        <v>0</v>
      </c>
      <c r="E6" s="29">
        <f>(SUMIFS('FC inventory'!G$2:G1000,'FC inventory'!$C$2:$C1000,"In",'FC inventory'!$B$2:$B1000,$A6,'FC inventory'!$A$2:$A1000,"&lt;"&amp;Today())-SUMIFS('FC inventory'!G$2:G1000,'FC inventory'!$C$2:$C1000,"Out",'FC inventory'!$B$2:$B1000,$A6,'FC inventory'!$A$2:$A1000,"&lt;"&amp;Today())+SUMIFS('FC inventory'!G$2:G1000,'FC inventory'!$C$2:$C1000,"Return",'FC inventory'!$B$2:$B1000,$A6,'FC inventory'!$A$2:$A1000,"&lt;"&amp;Today())-SUMIFS('FC inventory'!G$2:G1000,'FC inventory'!$C$2:$C1000,"Spoilage",'FC inventory'!$B$2:$B1000,$A6,'FC inventory'!$A$2:$A1000,"&lt;"&amp;today()))+ (SUMIFS('FC inventory'!G$2:G1000,'FC inventory'!$C$2:$C1000,"In",'FC inventory'!$B$2:$B1000,$A6,'FC inventory'!$A$2:$A1000,Today()))-(SUMIFS('FC inventory'!G$2:G1000,'FC inventory'!$C$2:$C1000,"Out",'FC inventory'!$B$2:$B1000,$A6,'FC inventory'!$A$2:$A1000,Today()) - (SUMIFS('FC inventory'!G$2:G1000,'FC inventory'!$C$2:$C1000,"Retuned",'FC inventory'!$B$2:$B1000,$A6,'FC inventory'!$A$2:$A1000,Today()) - (SUMIFS('FC inventory'!G$2:G1000,'FC inventory'!$C$2:$C1000,"Spoilage",'FC inventory'!$B$2:$B1000,$A6,'FC inventory'!$A$2:$A1000,Today()))))</f>
        <v>0</v>
      </c>
      <c r="F6" s="29">
        <f>(SUMIFS('FC inventory'!H$2:H1000,'FC inventory'!$C$2:$C1000,"In",'FC inventory'!$B$2:$B1000,$A6,'FC inventory'!$A$2:$A1000,"&lt;"&amp;Today())-SUMIFS('FC inventory'!H$2:H1000,'FC inventory'!$C$2:$C1000,"Out",'FC inventory'!$B$2:$B1000,$A6,'FC inventory'!$A$2:$A1000,"&lt;"&amp;Today())+SUMIFS('FC inventory'!H$2:H1000,'FC inventory'!$C$2:$C1000,"Return",'FC inventory'!$B$2:$B1000,$A6,'FC inventory'!$A$2:$A1000,"&lt;"&amp;Today())-SUMIFS('FC inventory'!H$2:H1000,'FC inventory'!$C$2:$C1000,"Spoilage",'FC inventory'!$B$2:$B1000,$A6,'FC inventory'!$A$2:$A1000,"&lt;"&amp;today()))+ (SUMIFS('FC inventory'!H$2:H1000,'FC inventory'!$C$2:$C1000,"In",'FC inventory'!$B$2:$B1000,$A6,'FC inventory'!$A$2:$A1000,Today()))-(SUMIFS('FC inventory'!H$2:H1000,'FC inventory'!$C$2:$C1000,"Out",'FC inventory'!$B$2:$B1000,$A6,'FC inventory'!$A$2:$A1000,Today()) - (SUMIFS('FC inventory'!H$2:H1000,'FC inventory'!$C$2:$C1000,"Retuned",'FC inventory'!$B$2:$B1000,$A6,'FC inventory'!$A$2:$A1000,Today()) - (SUMIFS('FC inventory'!H$2:H1000,'FC inventory'!$C$2:$C1000,"Spoilage",'FC inventory'!$B$2:$B1000,$A6,'FC inventory'!$A$2:$A1000,Today()))))</f>
        <v>0</v>
      </c>
      <c r="G6" s="29">
        <f>(SUMIFS('FC inventory'!I$2:I1000,'FC inventory'!$C$2:$C1000,"In",'FC inventory'!$B$2:$B1000,$A6,'FC inventory'!$A$2:$A1000,"&lt;"&amp;Today())-SUMIFS('FC inventory'!I$2:I1000,'FC inventory'!$C$2:$C1000,"Out",'FC inventory'!$B$2:$B1000,$A6,'FC inventory'!$A$2:$A1000,"&lt;"&amp;Today())+SUMIFS('FC inventory'!I$2:I1000,'FC inventory'!$C$2:$C1000,"Return",'FC inventory'!$B$2:$B1000,$A6,'FC inventory'!$A$2:$A1000,"&lt;"&amp;Today())-SUMIFS('FC inventory'!I$2:I1000,'FC inventory'!$C$2:$C1000,"Spoilage",'FC inventory'!$B$2:$B1000,$A6,'FC inventory'!$A$2:$A1000,"&lt;"&amp;today()))+ (SUMIFS('FC inventory'!I$2:I1000,'FC inventory'!$C$2:$C1000,"In",'FC inventory'!$B$2:$B1000,$A6,'FC inventory'!$A$2:$A1000,Today()))-(SUMIFS('FC inventory'!I$2:I1000,'FC inventory'!$C$2:$C1000,"Out",'FC inventory'!$B$2:$B1000,$A6,'FC inventory'!$A$2:$A1000,Today()) - (SUMIFS('FC inventory'!I$2:I1000,'FC inventory'!$C$2:$C1000,"Retuned",'FC inventory'!$B$2:$B1000,$A6,'FC inventory'!$A$2:$A1000,Today()) - (SUMIFS('FC inventory'!I$2:I1000,'FC inventory'!$C$2:$C1000,"Spoilage",'FC inventory'!$B$2:$B1000,$A6,'FC inventory'!$A$2:$A1000,Today()))))</f>
        <v>0</v>
      </c>
      <c r="H6" s="29">
        <f>(SUMIFS('FC inventory'!J$2:J1000,'FC inventory'!$C$2:$C1000,"In",'FC inventory'!$B$2:$B1000,$A6,'FC inventory'!$A$2:$A1000,"&lt;"&amp;Today())-SUMIFS('FC inventory'!J$2:J1000,'FC inventory'!$C$2:$C1000,"Out",'FC inventory'!$B$2:$B1000,$A6,'FC inventory'!$A$2:$A1000,"&lt;"&amp;Today())+SUMIFS('FC inventory'!J$2:J1000,'FC inventory'!$C$2:$C1000,"Return",'FC inventory'!$B$2:$B1000,$A6,'FC inventory'!$A$2:$A1000,"&lt;"&amp;Today())-SUMIFS('FC inventory'!J$2:J1000,'FC inventory'!$C$2:$C1000,"Spoilage",'FC inventory'!$B$2:$B1000,$A6,'FC inventory'!$A$2:$A1000,"&lt;"&amp;today()))+ (SUMIFS('FC inventory'!J$2:J1000,'FC inventory'!$C$2:$C1000,"In",'FC inventory'!$B$2:$B1000,$A6,'FC inventory'!$A$2:$A1000,Today()))-(SUMIFS('FC inventory'!J$2:J1000,'FC inventory'!$C$2:$C1000,"Out",'FC inventory'!$B$2:$B1000,$A6,'FC inventory'!$A$2:$A1000,Today()) - (SUMIFS('FC inventory'!J$2:J1000,'FC inventory'!$C$2:$C1000,"Retuned",'FC inventory'!$B$2:$B1000,$A6,'FC inventory'!$A$2:$A1000,Today()) - (SUMIFS('FC inventory'!J$2:J1000,'FC inventory'!$C$2:$C1000,"Spoilage",'FC inventory'!$B$2:$B1000,$A6,'FC inventory'!$A$2:$A1000,Today()))))</f>
        <v>0</v>
      </c>
      <c r="I6" s="29">
        <f>(SUMIFS('FC inventory'!K$2:K1000,'FC inventory'!$C$2:$C1000,"In",'FC inventory'!$B$2:$B1000,$A6,'FC inventory'!$A$2:$A1000,"&lt;"&amp;Today())-SUMIFS('FC inventory'!K$2:K1000,'FC inventory'!$C$2:$C1000,"Out",'FC inventory'!$B$2:$B1000,$A6,'FC inventory'!$A$2:$A1000,"&lt;"&amp;Today())+SUMIFS('FC inventory'!K$2:K1000,'FC inventory'!$C$2:$C1000,"Return",'FC inventory'!$B$2:$B1000,$A6,'FC inventory'!$A$2:$A1000,"&lt;"&amp;Today())-SUMIFS('FC inventory'!K$2:K1000,'FC inventory'!$C$2:$C1000,"Spoilage",'FC inventory'!$B$2:$B1000,$A6,'FC inventory'!$A$2:$A1000,"&lt;"&amp;today()))+ (SUMIFS('FC inventory'!K$2:K1000,'FC inventory'!$C$2:$C1000,"In",'FC inventory'!$B$2:$B1000,$A6,'FC inventory'!$A$2:$A1000,Today()))-(SUMIFS('FC inventory'!K$2:K1000,'FC inventory'!$C$2:$C1000,"Out",'FC inventory'!$B$2:$B1000,$A6,'FC inventory'!$A$2:$A1000,Today()) - (SUMIFS('FC inventory'!K$2:K1000,'FC inventory'!$C$2:$C1000,"Retuned",'FC inventory'!$B$2:$B1000,$A6,'FC inventory'!$A$2:$A1000,Today()) - (SUMIFS('FC inventory'!K$2:K1000,'FC inventory'!$C$2:$C1000,"Spoilage",'FC inventory'!$B$2:$B1000,$A6,'FC inventory'!$A$2:$A1000,Today()))))</f>
        <v>0</v>
      </c>
      <c r="J6" s="29">
        <f>(SUMIFS('FC inventory'!L$2:L1000,'FC inventory'!$C$2:$C1000,"In",'FC inventory'!$B$2:$B1000,$A6,'FC inventory'!$A$2:$A1000,"&lt;"&amp;Today())-SUMIFS('FC inventory'!L$2:L1000,'FC inventory'!$C$2:$C1000,"Out",'FC inventory'!$B$2:$B1000,$A6,'FC inventory'!$A$2:$A1000,"&lt;"&amp;Today())+SUMIFS('FC inventory'!L$2:L1000,'FC inventory'!$C$2:$C1000,"Return",'FC inventory'!$B$2:$B1000,$A6,'FC inventory'!$A$2:$A1000,"&lt;"&amp;Today())-SUMIFS('FC inventory'!L$2:L1000,'FC inventory'!$C$2:$C1000,"Spoilage",'FC inventory'!$B$2:$B1000,$A6,'FC inventory'!$A$2:$A1000,"&lt;"&amp;today()))+ (SUMIFS('FC inventory'!L$2:L1000,'FC inventory'!$C$2:$C1000,"In",'FC inventory'!$B$2:$B1000,$A6,'FC inventory'!$A$2:$A1000,Today()))-(SUMIFS('FC inventory'!L$2:L1000,'FC inventory'!$C$2:$C1000,"Out",'FC inventory'!$B$2:$B1000,$A6,'FC inventory'!$A$2:$A1000,Today()) - (SUMIFS('FC inventory'!L$2:L1000,'FC inventory'!$C$2:$C1000,"Retuned",'FC inventory'!$B$2:$B1000,$A6,'FC inventory'!$A$2:$A1000,Today()) - (SUMIFS('FC inventory'!L$2:L1000,'FC inventory'!$C$2:$C1000,"Spoilage",'FC inventory'!$B$2:$B1000,$A6,'FC inventory'!$A$2:$A1000,Today()))))</f>
        <v>0</v>
      </c>
      <c r="K6" s="29">
        <f>(SUMIFS('FC inventory'!M$2:M1000,'FC inventory'!$C$2:$C1000,"In",'FC inventory'!$B$2:$B1000,$A6,'FC inventory'!$A$2:$A1000,"&lt;"&amp;Today())-SUMIFS('FC inventory'!M$2:M1000,'FC inventory'!$C$2:$C1000,"Out",'FC inventory'!$B$2:$B1000,$A6,'FC inventory'!$A$2:$A1000,"&lt;"&amp;Today())+SUMIFS('FC inventory'!M$2:M1000,'FC inventory'!$C$2:$C1000,"Return",'FC inventory'!$B$2:$B1000,$A6,'FC inventory'!$A$2:$A1000,"&lt;"&amp;Today())-SUMIFS('FC inventory'!M$2:M1000,'FC inventory'!$C$2:$C1000,"Spoilage",'FC inventory'!$B$2:$B1000,$A6,'FC inventory'!$A$2:$A1000,"&lt;"&amp;today()))+ (SUMIFS('FC inventory'!M$2:M1000,'FC inventory'!$C$2:$C1000,"In",'FC inventory'!$B$2:$B1000,$A6,'FC inventory'!$A$2:$A1000,Today()))-(SUMIFS('FC inventory'!M$2:M1000,'FC inventory'!$C$2:$C1000,"Out",'FC inventory'!$B$2:$B1000,$A6,'FC inventory'!$A$2:$A1000,Today()) - (SUMIFS('FC inventory'!M$2:M1000,'FC inventory'!$C$2:$C1000,"Retuned",'FC inventory'!$B$2:$B1000,$A6,'FC inventory'!$A$2:$A1000,Today()) - (SUMIFS('FC inventory'!M$2:M1000,'FC inventory'!$C$2:$C1000,"Spoilage",'FC inventory'!$B$2:$B1000,$A6,'FC inventory'!$A$2:$A1000,Today()))))</f>
        <v>0</v>
      </c>
      <c r="L6" s="29">
        <f>(SUMIFS('FC inventory'!N$2:N1000,'FC inventory'!$C$2:$C1000,"In",'FC inventory'!$B$2:$B1000,$A6,'FC inventory'!$A$2:$A1000,"&lt;"&amp;Today())-SUMIFS('FC inventory'!N$2:N1000,'FC inventory'!$C$2:$C1000,"Out",'FC inventory'!$B$2:$B1000,$A6,'FC inventory'!$A$2:$A1000,"&lt;"&amp;Today())+SUMIFS('FC inventory'!N$2:N1000,'FC inventory'!$C$2:$C1000,"Return",'FC inventory'!$B$2:$B1000,$A6,'FC inventory'!$A$2:$A1000,"&lt;"&amp;Today())-SUMIFS('FC inventory'!N$2:N1000,'FC inventory'!$C$2:$C1000,"Spoilage",'FC inventory'!$B$2:$B1000,$A6,'FC inventory'!$A$2:$A1000,"&lt;"&amp;today()))+ (SUMIFS('FC inventory'!N$2:N1000,'FC inventory'!$C$2:$C1000,"In",'FC inventory'!$B$2:$B1000,$A6,'FC inventory'!$A$2:$A1000,Today()))-(SUMIFS('FC inventory'!N$2:N1000,'FC inventory'!$C$2:$C1000,"Out",'FC inventory'!$B$2:$B1000,$A6,'FC inventory'!$A$2:$A1000,Today()) - (SUMIFS('FC inventory'!N$2:N1000,'FC inventory'!$C$2:$C1000,"Retuned",'FC inventory'!$B$2:$B1000,$A6,'FC inventory'!$A$2:$A1000,Today()) - (SUMIFS('FC inventory'!N$2:N1000,'FC inventory'!$C$2:$C1000,"Spoilage",'FC inventory'!$B$2:$B1000,$A6,'FC inventory'!$A$2:$A1000,Today()))))</f>
        <v>0</v>
      </c>
      <c r="M6" s="29">
        <f>(SUMIFS('FC inventory'!O$2:O1000,'FC inventory'!$C$2:$C1000,"In",'FC inventory'!$B$2:$B1000,$A6,'FC inventory'!$A$2:$A1000,"&lt;"&amp;Today())-SUMIFS('FC inventory'!O$2:O1000,'FC inventory'!$C$2:$C1000,"Out",'FC inventory'!$B$2:$B1000,$A6,'FC inventory'!$A$2:$A1000,"&lt;"&amp;Today())+SUMIFS('FC inventory'!O$2:O1000,'FC inventory'!$C$2:$C1000,"Return",'FC inventory'!$B$2:$B1000,$A6,'FC inventory'!$A$2:$A1000,"&lt;"&amp;Today())-SUMIFS('FC inventory'!O$2:O1000,'FC inventory'!$C$2:$C1000,"Spoilage",'FC inventory'!$B$2:$B1000,$A6,'FC inventory'!$A$2:$A1000,"&lt;"&amp;today()))+ (SUMIFS('FC inventory'!O$2:O1000,'FC inventory'!$C$2:$C1000,"In",'FC inventory'!$B$2:$B1000,$A6,'FC inventory'!$A$2:$A1000,Today()))-(SUMIFS('FC inventory'!O$2:O1000,'FC inventory'!$C$2:$C1000,"Out",'FC inventory'!$B$2:$B1000,$A6,'FC inventory'!$A$2:$A1000,Today()) - (SUMIFS('FC inventory'!O$2:O1000,'FC inventory'!$C$2:$C1000,"Retuned",'FC inventory'!$B$2:$B1000,$A6,'FC inventory'!$A$2:$A1000,Today()) - (SUMIFS('FC inventory'!O$2:O1000,'FC inventory'!$C$2:$C1000,"Spoilage",'FC inventory'!$B$2:$B1000,$A6,'FC inventory'!$A$2:$A1000,Today()))))</f>
        <v>0</v>
      </c>
      <c r="N6" s="29">
        <f>(SUMIFS('FC inventory'!P$2:P1000,'FC inventory'!$C$2:$C1000,"In",'FC inventory'!$B$2:$B1000,$A6,'FC inventory'!$A$2:$A1000,"&lt;"&amp;Today())-SUMIFS('FC inventory'!P$2:P1000,'FC inventory'!$C$2:$C1000,"Out",'FC inventory'!$B$2:$B1000,$A6,'FC inventory'!$A$2:$A1000,"&lt;"&amp;Today())+SUMIFS('FC inventory'!P$2:P1000,'FC inventory'!$C$2:$C1000,"Return",'FC inventory'!$B$2:$B1000,$A6,'FC inventory'!$A$2:$A1000,"&lt;"&amp;Today())-SUMIFS('FC inventory'!P$2:P1000,'FC inventory'!$C$2:$C1000,"Spoilage",'FC inventory'!$B$2:$B1000,$A6,'FC inventory'!$A$2:$A1000,"&lt;"&amp;today()))+ (SUMIFS('FC inventory'!P$2:P1000,'FC inventory'!$C$2:$C1000,"In",'FC inventory'!$B$2:$B1000,$A6,'FC inventory'!$A$2:$A1000,Today()))-(SUMIFS('FC inventory'!P$2:P1000,'FC inventory'!$C$2:$C1000,"Out",'FC inventory'!$B$2:$B1000,$A6,'FC inventory'!$A$2:$A1000,Today()) - (SUMIFS('FC inventory'!P$2:P1000,'FC inventory'!$C$2:$C1000,"Retuned",'FC inventory'!$B$2:$B1000,$A6,'FC inventory'!$A$2:$A1000,Today()) - (SUMIFS('FC inventory'!P$2:P1000,'FC inventory'!$C$2:$C1000,"Spoilage",'FC inventory'!$B$2:$B1000,$A6,'FC inventory'!$A$2:$A1000,Today()))))</f>
        <v>0</v>
      </c>
      <c r="O6" s="29">
        <f>(SUMIFS('FC inventory'!Q$2:Q1000,'FC inventory'!$C$2:$C1000,"In",'FC inventory'!$B$2:$B1000,$A6,'FC inventory'!$A$2:$A1000,"&lt;"&amp;Today())-SUMIFS('FC inventory'!Q$2:Q1000,'FC inventory'!$C$2:$C1000,"Out",'FC inventory'!$B$2:$B1000,$A6,'FC inventory'!$A$2:$A1000,"&lt;"&amp;Today())+SUMIFS('FC inventory'!Q$2:Q1000,'FC inventory'!$C$2:$C1000,"Return",'FC inventory'!$B$2:$B1000,$A6,'FC inventory'!$A$2:$A1000,"&lt;"&amp;Today())-SUMIFS('FC inventory'!Q$2:Q1000,'FC inventory'!$C$2:$C1000,"Spoilage",'FC inventory'!$B$2:$B1000,$A6,'FC inventory'!$A$2:$A1000,"&lt;"&amp;today()))+ (SUMIFS('FC inventory'!Q$2:Q1000,'FC inventory'!$C$2:$C1000,"In",'FC inventory'!$B$2:$B1000,$A6,'FC inventory'!$A$2:$A1000,Today()))-(SUMIFS('FC inventory'!Q$2:Q1000,'FC inventory'!$C$2:$C1000,"Out",'FC inventory'!$B$2:$B1000,$A6,'FC inventory'!$A$2:$A1000,Today()) - (SUMIFS('FC inventory'!Q$2:Q1000,'FC inventory'!$C$2:$C1000,"Retuned",'FC inventory'!$B$2:$B1000,$A6,'FC inventory'!$A$2:$A1000,Today()) - (SUMIFS('FC inventory'!Q$2:Q1000,'FC inventory'!$C$2:$C1000,"Spoilage",'FC inventory'!$B$2:$B1000,$A6,'FC inventory'!$A$2:$A1000,Today()))))</f>
        <v>0</v>
      </c>
      <c r="P6" s="29">
        <f>(SUMIFS('FC inventory'!R$2:R1000,'FC inventory'!$C$2:$C1000,"In",'FC inventory'!$B$2:$B1000,$A6,'FC inventory'!$A$2:$A1000,"&lt;"&amp;Today())-SUMIFS('FC inventory'!R$2:R1000,'FC inventory'!$C$2:$C1000,"Out",'FC inventory'!$B$2:$B1000,$A6,'FC inventory'!$A$2:$A1000,"&lt;"&amp;Today())+SUMIFS('FC inventory'!R$2:R1000,'FC inventory'!$C$2:$C1000,"Return",'FC inventory'!$B$2:$B1000,$A6,'FC inventory'!$A$2:$A1000,"&lt;"&amp;Today())-SUMIFS('FC inventory'!R$2:R1000,'FC inventory'!$C$2:$C1000,"Spoilage",'FC inventory'!$B$2:$B1000,$A6,'FC inventory'!$A$2:$A1000,"&lt;"&amp;today()))+ (SUMIFS('FC inventory'!R$2:R1000,'FC inventory'!$C$2:$C1000,"In",'FC inventory'!$B$2:$B1000,$A6,'FC inventory'!$A$2:$A1000,Today()))-(SUMIFS('FC inventory'!R$2:R1000,'FC inventory'!$C$2:$C1000,"Out",'FC inventory'!$B$2:$B1000,$A6,'FC inventory'!$A$2:$A1000,Today()) - (SUMIFS('FC inventory'!R$2:R1000,'FC inventory'!$C$2:$C1000,"Retuned",'FC inventory'!$B$2:$B1000,$A6,'FC inventory'!$A$2:$A1000,Today()) - (SUMIFS('FC inventory'!R$2:R1000,'FC inventory'!$C$2:$C1000,"Spoilage",'FC inventory'!$B$2:$B1000,$A6,'FC inventory'!$A$2:$A1000,Today()))))</f>
        <v>0</v>
      </c>
      <c r="Q6" s="29">
        <f>(SUMIFS('FC inventory'!S$2:S1000,'FC inventory'!$C$2:$C1000,"In",'FC inventory'!$B$2:$B1000,$A6,'FC inventory'!$A$2:$A1000,"&lt;"&amp;Today())-SUMIFS('FC inventory'!S$2:S1000,'FC inventory'!$C$2:$C1000,"Out",'FC inventory'!$B$2:$B1000,$A6,'FC inventory'!$A$2:$A1000,"&lt;"&amp;Today())+SUMIFS('FC inventory'!S$2:S1000,'FC inventory'!$C$2:$C1000,"Return",'FC inventory'!$B$2:$B1000,$A6,'FC inventory'!$A$2:$A1000,"&lt;"&amp;Today())-SUMIFS('FC inventory'!S$2:S1000,'FC inventory'!$C$2:$C1000,"Spoilage",'FC inventory'!$B$2:$B1000,$A6,'FC inventory'!$A$2:$A1000,"&lt;"&amp;today()))+ (SUMIFS('FC inventory'!S$2:S1000,'FC inventory'!$C$2:$C1000,"In",'FC inventory'!$B$2:$B1000,$A6,'FC inventory'!$A$2:$A1000,Today()))-(SUMIFS('FC inventory'!S$2:S1000,'FC inventory'!$C$2:$C1000,"Out",'FC inventory'!$B$2:$B1000,$A6,'FC inventory'!$A$2:$A1000,Today()) - (SUMIFS('FC inventory'!S$2:S1000,'FC inventory'!$C$2:$C1000,"Retuned",'FC inventory'!$B$2:$B1000,$A6,'FC inventory'!$A$2:$A1000,Today()) - (SUMIFS('FC inventory'!S$2:S1000,'FC inventory'!$C$2:$C1000,"Spoilage",'FC inventory'!$B$2:$B1000,$A6,'FC inventory'!$A$2:$A1000,Today()))))</f>
        <v>0</v>
      </c>
      <c r="R6" s="29">
        <f>(SUMIFS('FC inventory'!T$2:T1000,'FC inventory'!$C$2:$C1000,"In",'FC inventory'!$B$2:$B1000,$A6,'FC inventory'!$A$2:$A1000,"&lt;"&amp;Today())-SUMIFS('FC inventory'!T$2:T1000,'FC inventory'!$C$2:$C1000,"Out",'FC inventory'!$B$2:$B1000,$A6,'FC inventory'!$A$2:$A1000,"&lt;"&amp;Today())+SUMIFS('FC inventory'!T$2:T1000,'FC inventory'!$C$2:$C1000,"Return",'FC inventory'!$B$2:$B1000,$A6,'FC inventory'!$A$2:$A1000,"&lt;"&amp;Today())-SUMIFS('FC inventory'!T$2:T1000,'FC inventory'!$C$2:$C1000,"Spoilage",'FC inventory'!$B$2:$B1000,$A6,'FC inventory'!$A$2:$A1000,"&lt;"&amp;today()))+ (SUMIFS('FC inventory'!T$2:T1000,'FC inventory'!$C$2:$C1000,"In",'FC inventory'!$B$2:$B1000,$A6,'FC inventory'!$A$2:$A1000,Today()))-(SUMIFS('FC inventory'!T$2:T1000,'FC inventory'!$C$2:$C1000,"Out",'FC inventory'!$B$2:$B1000,$A6,'FC inventory'!$A$2:$A1000,Today()) - (SUMIFS('FC inventory'!T$2:T1000,'FC inventory'!$C$2:$C1000,"Retuned",'FC inventory'!$B$2:$B1000,$A6,'FC inventory'!$A$2:$A1000,Today()) - (SUMIFS('FC inventory'!T$2:T1000,'FC inventory'!$C$2:$C1000,"Spoilage",'FC inventory'!$B$2:$B1000,$A6,'FC inventory'!$A$2:$A1000,Today()))))</f>
        <v>0</v>
      </c>
      <c r="S6" s="29">
        <f>(SUMIFS('FC inventory'!U$2:U1000,'FC inventory'!$C$2:$C1000,"In",'FC inventory'!$B$2:$B1000,$A6,'FC inventory'!$A$2:$A1000,"&lt;"&amp;Today())-SUMIFS('FC inventory'!U$2:U1000,'FC inventory'!$C$2:$C1000,"Out",'FC inventory'!$B$2:$B1000,$A6,'FC inventory'!$A$2:$A1000,"&lt;"&amp;Today())+SUMIFS('FC inventory'!U$2:U1000,'FC inventory'!$C$2:$C1000,"Return",'FC inventory'!$B$2:$B1000,$A6,'FC inventory'!$A$2:$A1000,"&lt;"&amp;Today())-SUMIFS('FC inventory'!U$2:U1000,'FC inventory'!$C$2:$C1000,"Spoilage",'FC inventory'!$B$2:$B1000,$A6,'FC inventory'!$A$2:$A1000,"&lt;"&amp;today()))+ (SUMIFS('FC inventory'!U$2:U1000,'FC inventory'!$C$2:$C1000,"In",'FC inventory'!$B$2:$B1000,$A6,'FC inventory'!$A$2:$A1000,Today()))-(SUMIFS('FC inventory'!U$2:U1000,'FC inventory'!$C$2:$C1000,"Out",'FC inventory'!$B$2:$B1000,$A6,'FC inventory'!$A$2:$A1000,Today()) - (SUMIFS('FC inventory'!U$2:U1000,'FC inventory'!$C$2:$C1000,"Retuned",'FC inventory'!$B$2:$B1000,$A6,'FC inventory'!$A$2:$A1000,Today()) - (SUMIFS('FC inventory'!U$2:U1000,'FC inventory'!$C$2:$C1000,"Spoilage",'FC inventory'!$B$2:$B1000,$A6,'FC inventory'!$A$2:$A1000,Today()))))</f>
        <v>0</v>
      </c>
      <c r="T6" s="29">
        <f>(SUMIFS('FC inventory'!V$2:V1000,'FC inventory'!$C$2:$C1000,"In",'FC inventory'!$B$2:$B1000,$A6,'FC inventory'!$A$2:$A1000,"&lt;"&amp;Today())-SUMIFS('FC inventory'!V$2:V1000,'FC inventory'!$C$2:$C1000,"Out",'FC inventory'!$B$2:$B1000,$A6,'FC inventory'!$A$2:$A1000,"&lt;"&amp;Today())+SUMIFS('FC inventory'!V$2:V1000,'FC inventory'!$C$2:$C1000,"Return",'FC inventory'!$B$2:$B1000,$A6,'FC inventory'!$A$2:$A1000,"&lt;"&amp;Today())-SUMIFS('FC inventory'!V$2:V1000,'FC inventory'!$C$2:$C1000,"Spoilage",'FC inventory'!$B$2:$B1000,$A6,'FC inventory'!$A$2:$A1000,"&lt;"&amp;today()))+ (SUMIFS('FC inventory'!V$2:V1000,'FC inventory'!$C$2:$C1000,"In",'FC inventory'!$B$2:$B1000,$A6,'FC inventory'!$A$2:$A1000,Today()))-(SUMIFS('FC inventory'!V$2:V1000,'FC inventory'!$C$2:$C1000,"Out",'FC inventory'!$B$2:$B1000,$A6,'FC inventory'!$A$2:$A1000,Today()) - (SUMIFS('FC inventory'!V$2:V1000,'FC inventory'!$C$2:$C1000,"Retuned",'FC inventory'!$B$2:$B1000,$A6,'FC inventory'!$A$2:$A1000,Today()) - (SUMIFS('FC inventory'!V$2:V1000,'FC inventory'!$C$2:$C1000,"Spoilage",'FC inventory'!$B$2:$B1000,$A6,'FC inventory'!$A$2:$A1000,Today()))))</f>
        <v>0</v>
      </c>
      <c r="U6" s="29">
        <f>(SUMIFS('FC inventory'!W$2:W1000,'FC inventory'!$C$2:$C1000,"In",'FC inventory'!$B$2:$B1000,$A6,'FC inventory'!$A$2:$A1000,"&lt;"&amp;Today())-SUMIFS('FC inventory'!W$2:W1000,'FC inventory'!$C$2:$C1000,"Out",'FC inventory'!$B$2:$B1000,$A6,'FC inventory'!$A$2:$A1000,"&lt;"&amp;Today())+SUMIFS('FC inventory'!W$2:W1000,'FC inventory'!$C$2:$C1000,"Return",'FC inventory'!$B$2:$B1000,$A6,'FC inventory'!$A$2:$A1000,"&lt;"&amp;Today())-SUMIFS('FC inventory'!W$2:W1000,'FC inventory'!$C$2:$C1000,"Spoilage",'FC inventory'!$B$2:$B1000,$A6,'FC inventory'!$A$2:$A1000,"&lt;"&amp;today()))+ (SUMIFS('FC inventory'!W$2:W1000,'FC inventory'!$C$2:$C1000,"In",'FC inventory'!$B$2:$B1000,$A6,'FC inventory'!$A$2:$A1000,Today()))-(SUMIFS('FC inventory'!W$2:W1000,'FC inventory'!$C$2:$C1000,"Out",'FC inventory'!$B$2:$B1000,$A6,'FC inventory'!$A$2:$A1000,Today()) - (SUMIFS('FC inventory'!W$2:W1000,'FC inventory'!$C$2:$C1000,"Retuned",'FC inventory'!$B$2:$B1000,$A6,'FC inventory'!$A$2:$A1000,Today()) - (SUMIFS('FC inventory'!W$2:W1000,'FC inventory'!$C$2:$C1000,"Spoilage",'FC inventory'!$B$2:$B1000,$A6,'FC inventory'!$A$2:$A1000,Today()))))</f>
        <v>0</v>
      </c>
      <c r="V6" s="29">
        <f>(SUMIFS('FC inventory'!X$2:X1000,'FC inventory'!$C$2:$C1000,"In",'FC inventory'!$B$2:$B1000,$A6,'FC inventory'!$A$2:$A1000,"&lt;"&amp;Today())-SUMIFS('FC inventory'!X$2:X1000,'FC inventory'!$C$2:$C1000,"Out",'FC inventory'!$B$2:$B1000,$A6,'FC inventory'!$A$2:$A1000,"&lt;"&amp;Today())+SUMIFS('FC inventory'!X$2:X1000,'FC inventory'!$C$2:$C1000,"Return",'FC inventory'!$B$2:$B1000,$A6,'FC inventory'!$A$2:$A1000,"&lt;"&amp;Today())-SUMIFS('FC inventory'!X$2:X1000,'FC inventory'!$C$2:$C1000,"Spoilage",'FC inventory'!$B$2:$B1000,$A6,'FC inventory'!$A$2:$A1000,"&lt;"&amp;today()))+ (SUMIFS('FC inventory'!X$2:X1000,'FC inventory'!$C$2:$C1000,"In",'FC inventory'!$B$2:$B1000,$A6,'FC inventory'!$A$2:$A1000,Today()))-(SUMIFS('FC inventory'!X$2:X1000,'FC inventory'!$C$2:$C1000,"Out",'FC inventory'!$B$2:$B1000,$A6,'FC inventory'!$A$2:$A1000,Today()) - (SUMIFS('FC inventory'!X$2:X1000,'FC inventory'!$C$2:$C1000,"Retuned",'FC inventory'!$B$2:$B1000,$A6,'FC inventory'!$A$2:$A1000,Today()) - (SUMIFS('FC inventory'!X$2:X1000,'FC inventory'!$C$2:$C1000,"Spoilage",'FC inventory'!$B$2:$B1000,$A6,'FC inventory'!$A$2:$A1000,Today()))))</f>
        <v>0</v>
      </c>
      <c r="W6" s="29">
        <f>(SUMIFS('FC inventory'!Y$2:Y1000,'FC inventory'!$C$2:$C1000,"In",'FC inventory'!$B$2:$B1000,$A6,'FC inventory'!$A$2:$A1000,"&lt;"&amp;Today())-SUMIFS('FC inventory'!Y$2:Y1000,'FC inventory'!$C$2:$C1000,"Out",'FC inventory'!$B$2:$B1000,$A6,'FC inventory'!$A$2:$A1000,"&lt;"&amp;Today())+SUMIFS('FC inventory'!Y$2:Y1000,'FC inventory'!$C$2:$C1000,"Return",'FC inventory'!$B$2:$B1000,$A6,'FC inventory'!$A$2:$A1000,"&lt;"&amp;Today())-SUMIFS('FC inventory'!Y$2:Y1000,'FC inventory'!$C$2:$C1000,"Spoilage",'FC inventory'!$B$2:$B1000,$A6,'FC inventory'!$A$2:$A1000,"&lt;"&amp;today()))+ (SUMIFS('FC inventory'!Y$2:Y1000,'FC inventory'!$C$2:$C1000,"In",'FC inventory'!$B$2:$B1000,$A6,'FC inventory'!$A$2:$A1000,Today()))-(SUMIFS('FC inventory'!Y$2:Y1000,'FC inventory'!$C$2:$C1000,"Out",'FC inventory'!$B$2:$B1000,$A6,'FC inventory'!$A$2:$A1000,Today()) - (SUMIFS('FC inventory'!Y$2:Y1000,'FC inventory'!$C$2:$C1000,"Retuned",'FC inventory'!$B$2:$B1000,$A6,'FC inventory'!$A$2:$A1000,Today()) - (SUMIFS('FC inventory'!Y$2:Y1000,'FC inventory'!$C$2:$C1000,"Spoilage",'FC inventory'!$B$2:$B1000,$A6,'FC inventory'!$A$2:$A1000,Today()))))</f>
        <v>0</v>
      </c>
      <c r="X6" s="29">
        <f>(SUMIFS('FC inventory'!Z$2:Z1000,'FC inventory'!$C$2:$C1000,"In",'FC inventory'!$B$2:$B1000,$A6,'FC inventory'!$A$2:$A1000,"&lt;"&amp;Today())-SUMIFS('FC inventory'!Z$2:Z1000,'FC inventory'!$C$2:$C1000,"Out",'FC inventory'!$B$2:$B1000,$A6,'FC inventory'!$A$2:$A1000,"&lt;"&amp;Today())+SUMIFS('FC inventory'!Z$2:Z1000,'FC inventory'!$C$2:$C1000,"Return",'FC inventory'!$B$2:$B1000,$A6,'FC inventory'!$A$2:$A1000,"&lt;"&amp;Today())-SUMIFS('FC inventory'!Z$2:Z1000,'FC inventory'!$C$2:$C1000,"Spoilage",'FC inventory'!$B$2:$B1000,$A6,'FC inventory'!$A$2:$A1000,"&lt;"&amp;today()))+ (SUMIFS('FC inventory'!Z$2:Z1000,'FC inventory'!$C$2:$C1000,"In",'FC inventory'!$B$2:$B1000,$A6,'FC inventory'!$A$2:$A1000,Today()))-(SUMIFS('FC inventory'!Z$2:Z1000,'FC inventory'!$C$2:$C1000,"Out",'FC inventory'!$B$2:$B1000,$A6,'FC inventory'!$A$2:$A1000,Today()) - (SUMIFS('FC inventory'!Z$2:Z1000,'FC inventory'!$C$2:$C1000,"Retuned",'FC inventory'!$B$2:$B1000,$A6,'FC inventory'!$A$2:$A1000,Today()) - (SUMIFS('FC inventory'!Z$2:Z1000,'FC inventory'!$C$2:$C1000,"Spoilage",'FC inventory'!$B$2:$B1000,$A6,'FC inventory'!$A$2:$A1000,Today()))))</f>
        <v>0</v>
      </c>
      <c r="Y6" s="29">
        <f>(SUMIFS('FC inventory'!AA$2:AA1000,'FC inventory'!$C$2:$C1000,"In",'FC inventory'!$B$2:$B1000,$A6,'FC inventory'!$A$2:$A1000,"&lt;"&amp;Today())-SUMIFS('FC inventory'!AA$2:AA1000,'FC inventory'!$C$2:$C1000,"Out",'FC inventory'!$B$2:$B1000,$A6,'FC inventory'!$A$2:$A1000,"&lt;"&amp;Today())+SUMIFS('FC inventory'!AA$2:AA1000,'FC inventory'!$C$2:$C1000,"Return",'FC inventory'!$B$2:$B1000,$A6,'FC inventory'!$A$2:$A1000,"&lt;"&amp;Today())-SUMIFS('FC inventory'!AA$2:AA1000,'FC inventory'!$C$2:$C1000,"Spoilage",'FC inventory'!$B$2:$B1000,$A6,'FC inventory'!$A$2:$A1000,"&lt;"&amp;today()))+ (SUMIFS('FC inventory'!AA$2:AA1000,'FC inventory'!$C$2:$C1000,"In",'FC inventory'!$B$2:$B1000,$A6,'FC inventory'!$A$2:$A1000,Today()))-(SUMIFS('FC inventory'!AA$2:AA1000,'FC inventory'!$C$2:$C1000,"Out",'FC inventory'!$B$2:$B1000,$A6,'FC inventory'!$A$2:$A1000,Today()) - (SUMIFS('FC inventory'!AA$2:AA1000,'FC inventory'!$C$2:$C1000,"Retuned",'FC inventory'!$B$2:$B1000,$A6,'FC inventory'!$A$2:$A1000,Today()) - (SUMIFS('FC inventory'!AA$2:AA1000,'FC inventory'!$C$2:$C1000,"Spoilage",'FC inventory'!$B$2:$B1000,$A6,'FC inventory'!$A$2:$A1000,Today()))))</f>
        <v>0</v>
      </c>
      <c r="Z6" s="29">
        <f>(SUMIFS('FC inventory'!AB$2:AB1000,'FC inventory'!$C$2:$C1000,"In",'FC inventory'!$B$2:$B1000,$A6,'FC inventory'!$A$2:$A1000,"&lt;"&amp;Today())-SUMIFS('FC inventory'!AB$2:AB1000,'FC inventory'!$C$2:$C1000,"Out",'FC inventory'!$B$2:$B1000,$A6,'FC inventory'!$A$2:$A1000,"&lt;"&amp;Today())+SUMIFS('FC inventory'!AB$2:AB1000,'FC inventory'!$C$2:$C1000,"Return",'FC inventory'!$B$2:$B1000,$A6,'FC inventory'!$A$2:$A1000,"&lt;"&amp;Today())-SUMIFS('FC inventory'!AB$2:AB1000,'FC inventory'!$C$2:$C1000,"Spoilage",'FC inventory'!$B$2:$B1000,$A6,'FC inventory'!$A$2:$A1000,"&lt;"&amp;today()))+ (SUMIFS('FC inventory'!AB$2:AB1000,'FC inventory'!$C$2:$C1000,"In",'FC inventory'!$B$2:$B1000,$A6,'FC inventory'!$A$2:$A1000,Today()))-(SUMIFS('FC inventory'!AB$2:AB1000,'FC inventory'!$C$2:$C1000,"Out",'FC inventory'!$B$2:$B1000,$A6,'FC inventory'!$A$2:$A1000,Today()) - (SUMIFS('FC inventory'!AB$2:AB1000,'FC inventory'!$C$2:$C1000,"Retuned",'FC inventory'!$B$2:$B1000,$A6,'FC inventory'!$A$2:$A1000,Today()) - (SUMIFS('FC inventory'!AB$2:AB1000,'FC inventory'!$C$2:$C1000,"Spoilage",'FC inventory'!$B$2:$B1000,$A6,'FC inventory'!$A$2:$A1000,Today()))))</f>
        <v>0</v>
      </c>
      <c r="AA6" s="29">
        <f>(SUMIFS('FC inventory'!AC$2:AC1000,'FC inventory'!$C$2:$C1000,"In",'FC inventory'!$B$2:$B1000,$A6,'FC inventory'!$A$2:$A1000,"&lt;"&amp;Today())-SUMIFS('FC inventory'!AC$2:AC1000,'FC inventory'!$C$2:$C1000,"Out",'FC inventory'!$B$2:$B1000,$A6,'FC inventory'!$A$2:$A1000,"&lt;"&amp;Today())+SUMIFS('FC inventory'!AC$2:AC1000,'FC inventory'!$C$2:$C1000,"Return",'FC inventory'!$B$2:$B1000,$A6,'FC inventory'!$A$2:$A1000,"&lt;"&amp;Today())-SUMIFS('FC inventory'!AC$2:AC1000,'FC inventory'!$C$2:$C1000,"Spoilage",'FC inventory'!$B$2:$B1000,$A6,'FC inventory'!$A$2:$A1000,"&lt;"&amp;today()))+ (SUMIFS('FC inventory'!AC$2:AC1000,'FC inventory'!$C$2:$C1000,"In",'FC inventory'!$B$2:$B1000,$A6,'FC inventory'!$A$2:$A1000,Today()))-(SUMIFS('FC inventory'!AC$2:AC1000,'FC inventory'!$C$2:$C1000,"Out",'FC inventory'!$B$2:$B1000,$A6,'FC inventory'!$A$2:$A1000,Today()) - (SUMIFS('FC inventory'!AC$2:AC1000,'FC inventory'!$C$2:$C1000,"Retuned",'FC inventory'!$B$2:$B1000,$A6,'FC inventory'!$A$2:$A1000,Today()) - (SUMIFS('FC inventory'!AC$2:AC1000,'FC inventory'!$C$2:$C1000,"Spoilage",'FC inventory'!$B$2:$B1000,$A6,'FC inventory'!$A$2:$A1000,Today()))))</f>
        <v>0</v>
      </c>
      <c r="AB6" s="29">
        <f>(SUMIFS('FC inventory'!AD$2:AD1000,'FC inventory'!$C$2:$C1000,"In",'FC inventory'!$B$2:$B1000,$A6,'FC inventory'!$A$2:$A1000,"&lt;"&amp;Today())-SUMIFS('FC inventory'!AD$2:AD1000,'FC inventory'!$C$2:$C1000,"Out",'FC inventory'!$B$2:$B1000,$A6,'FC inventory'!$A$2:$A1000,"&lt;"&amp;Today())+SUMIFS('FC inventory'!AD$2:AD1000,'FC inventory'!$C$2:$C1000,"Return",'FC inventory'!$B$2:$B1000,$A6,'FC inventory'!$A$2:$A1000,"&lt;"&amp;Today())-SUMIFS('FC inventory'!AD$2:AD1000,'FC inventory'!$C$2:$C1000,"Spoilage",'FC inventory'!$B$2:$B1000,$A6,'FC inventory'!$A$2:$A1000,"&lt;"&amp;today()))+ (SUMIFS('FC inventory'!AD$2:AD1000,'FC inventory'!$C$2:$C1000,"In",'FC inventory'!$B$2:$B1000,$A6,'FC inventory'!$A$2:$A1000,Today()))-(SUMIFS('FC inventory'!AD$2:AD1000,'FC inventory'!$C$2:$C1000,"Out",'FC inventory'!$B$2:$B1000,$A6,'FC inventory'!$A$2:$A1000,Today()) - (SUMIFS('FC inventory'!AD$2:AD1000,'FC inventory'!$C$2:$C1000,"Retuned",'FC inventory'!$B$2:$B1000,$A6,'FC inventory'!$A$2:$A1000,Today()) - (SUMIFS('FC inventory'!AD$2:AD1000,'FC inventory'!$C$2:$C1000,"Spoilage",'FC inventory'!$B$2:$B1000,$A6,'FC inventory'!$A$2:$A1000,Today()))))</f>
        <v>0</v>
      </c>
      <c r="AC6" s="29">
        <f>(SUMIFS('FC inventory'!AE$2:AE1000,'FC inventory'!$C$2:$C1000,"In",'FC inventory'!$B$2:$B1000,$A6,'FC inventory'!$A$2:$A1000,"&lt;"&amp;Today())-SUMIFS('FC inventory'!AE$2:AE1000,'FC inventory'!$C$2:$C1000,"Out",'FC inventory'!$B$2:$B1000,$A6,'FC inventory'!$A$2:$A1000,"&lt;"&amp;Today())+SUMIFS('FC inventory'!AE$2:AE1000,'FC inventory'!$C$2:$C1000,"Return",'FC inventory'!$B$2:$B1000,$A6,'FC inventory'!$A$2:$A1000,"&lt;"&amp;Today())-SUMIFS('FC inventory'!AE$2:AE1000,'FC inventory'!$C$2:$C1000,"Spoilage",'FC inventory'!$B$2:$B1000,$A6,'FC inventory'!$A$2:$A1000,"&lt;"&amp;today()))+ (SUMIFS('FC inventory'!AE$2:AE1000,'FC inventory'!$C$2:$C1000,"In",'FC inventory'!$B$2:$B1000,$A6,'FC inventory'!$A$2:$A1000,Today()))-(SUMIFS('FC inventory'!AE$2:AE1000,'FC inventory'!$C$2:$C1000,"Out",'FC inventory'!$B$2:$B1000,$A6,'FC inventory'!$A$2:$A1000,Today()) - (SUMIFS('FC inventory'!AE$2:AE1000,'FC inventory'!$C$2:$C1000,"Retuned",'FC inventory'!$B$2:$B1000,$A6,'FC inventory'!$A$2:$A1000,Today()) - (SUMIFS('FC inventory'!AE$2:AE1000,'FC inventory'!$C$2:$C1000,"Spoilage",'FC inventory'!$B$2:$B1000,$A6,'FC inventory'!$A$2:$A1000,Today()))))</f>
        <v>0</v>
      </c>
      <c r="AD6" s="29">
        <f>(SUMIFS('FC inventory'!AF$2:AF1000,'FC inventory'!$C$2:$C1000,"In",'FC inventory'!$B$2:$B1000,$A6,'FC inventory'!$A$2:$A1000,"&lt;"&amp;Today())-SUMIFS('FC inventory'!AF$2:AF1000,'FC inventory'!$C$2:$C1000,"Out",'FC inventory'!$B$2:$B1000,$A6,'FC inventory'!$A$2:$A1000,"&lt;"&amp;Today())+SUMIFS('FC inventory'!AF$2:AF1000,'FC inventory'!$C$2:$C1000,"Return",'FC inventory'!$B$2:$B1000,$A6,'FC inventory'!$A$2:$A1000,"&lt;"&amp;Today())-SUMIFS('FC inventory'!AF$2:AF1000,'FC inventory'!$C$2:$C1000,"Spoilage",'FC inventory'!$B$2:$B1000,$A6,'FC inventory'!$A$2:$A1000,"&lt;"&amp;today()))+ (SUMIFS('FC inventory'!AF$2:AF1000,'FC inventory'!$C$2:$C1000,"In",'FC inventory'!$B$2:$B1000,$A6,'FC inventory'!$A$2:$A1000,Today()))-(SUMIFS('FC inventory'!AF$2:AF1000,'FC inventory'!$C$2:$C1000,"Out",'FC inventory'!$B$2:$B1000,$A6,'FC inventory'!$A$2:$A1000,Today()) - (SUMIFS('FC inventory'!AF$2:AF1000,'FC inventory'!$C$2:$C1000,"Retuned",'FC inventory'!$B$2:$B1000,$A6,'FC inventory'!$A$2:$A1000,Today()) - (SUMIFS('FC inventory'!AF$2:AF1000,'FC inventory'!$C$2:$C1000,"Spoilage",'FC inventory'!$B$2:$B1000,$A6,'FC inventory'!$A$2:$A1000,Today()))))</f>
        <v>0</v>
      </c>
      <c r="AE6" s="29">
        <f>(SUMIFS('FC inventory'!AG$2:AG1000,'FC inventory'!$C$2:$C1000,"In",'FC inventory'!$B$2:$B1000,$A6,'FC inventory'!$A$2:$A1000,"&lt;"&amp;Today())-SUMIFS('FC inventory'!AG$2:AG1000,'FC inventory'!$C$2:$C1000,"Out",'FC inventory'!$B$2:$B1000,$A6,'FC inventory'!$A$2:$A1000,"&lt;"&amp;Today())+SUMIFS('FC inventory'!AG$2:AG1000,'FC inventory'!$C$2:$C1000,"Return",'FC inventory'!$B$2:$B1000,$A6,'FC inventory'!$A$2:$A1000,"&lt;"&amp;Today())-SUMIFS('FC inventory'!AG$2:AG1000,'FC inventory'!$C$2:$C1000,"Spoilage",'FC inventory'!$B$2:$B1000,$A6,'FC inventory'!$A$2:$A1000,"&lt;"&amp;today()))+ (SUMIFS('FC inventory'!AG$2:AG1000,'FC inventory'!$C$2:$C1000,"In",'FC inventory'!$B$2:$B1000,$A6,'FC inventory'!$A$2:$A1000,Today()))-(SUMIFS('FC inventory'!AG$2:AG1000,'FC inventory'!$C$2:$C1000,"Out",'FC inventory'!$B$2:$B1000,$A6,'FC inventory'!$A$2:$A1000,Today()) - (SUMIFS('FC inventory'!AG$2:AG1000,'FC inventory'!$C$2:$C1000,"Retuned",'FC inventory'!$B$2:$B1000,$A6,'FC inventory'!$A$2:$A1000,Today()) - (SUMIFS('FC inventory'!AG$2:AG1000,'FC inventory'!$C$2:$C1000,"Spoilage",'FC inventory'!$B$2:$B1000,$A6,'FC inventory'!$A$2:$A1000,Today()))))</f>
        <v>0</v>
      </c>
      <c r="AF6" s="29">
        <f>(SUMIFS('FC inventory'!AH$2:AH1000,'FC inventory'!$C$2:$C1000,"In",'FC inventory'!$B$2:$B1000,$A6,'FC inventory'!$A$2:$A1000,"&lt;"&amp;Today())-SUMIFS('FC inventory'!AH$2:AH1000,'FC inventory'!$C$2:$C1000,"Out",'FC inventory'!$B$2:$B1000,$A6,'FC inventory'!$A$2:$A1000,"&lt;"&amp;Today())+SUMIFS('FC inventory'!AH$2:AH1000,'FC inventory'!$C$2:$C1000,"Return",'FC inventory'!$B$2:$B1000,$A6,'FC inventory'!$A$2:$A1000,"&lt;"&amp;Today())-SUMIFS('FC inventory'!AH$2:AH1000,'FC inventory'!$C$2:$C1000,"Spoilage",'FC inventory'!$B$2:$B1000,$A6,'FC inventory'!$A$2:$A1000,"&lt;"&amp;today()))+ (SUMIFS('FC inventory'!AH$2:AH1000,'FC inventory'!$C$2:$C1000,"In",'FC inventory'!$B$2:$B1000,$A6,'FC inventory'!$A$2:$A1000,Today()))-(SUMIFS('FC inventory'!AH$2:AH1000,'FC inventory'!$C$2:$C1000,"Out",'FC inventory'!$B$2:$B1000,$A6,'FC inventory'!$A$2:$A1000,Today()) - (SUMIFS('FC inventory'!AH$2:AH1000,'FC inventory'!$C$2:$C1000,"Retuned",'FC inventory'!$B$2:$B1000,$A6,'FC inventory'!$A$2:$A1000,Today()) - (SUMIFS('FC inventory'!AH$2:AH1000,'FC inventory'!$C$2:$C1000,"Spoilage",'FC inventory'!$B$2:$B1000,$A6,'FC inventory'!$A$2:$A1000,Today()))))</f>
        <v>0</v>
      </c>
    </row>
    <row r="7">
      <c r="A7" s="28" t="s">
        <v>37</v>
      </c>
      <c r="B7" s="29">
        <f>(SUMIFS('FC inventory'!D$2:D1000,'FC inventory'!$C$2:$C1000,"In",'FC inventory'!$B$2:$B1000,$A7,'FC inventory'!$A$2:$A1000,"&lt;"&amp;Today())-SUMIFS('FC inventory'!D$2:D1000,'FC inventory'!$C$2:$C1000,"Out",'FC inventory'!$B$2:$B1000,$A7,'FC inventory'!$A$2:$A1000,"&lt;"&amp;Today())+SUMIFS('FC inventory'!D$2:D1000,'FC inventory'!$C$2:$C1000,"Return",'FC inventory'!$B$2:$B1000,$A7,'FC inventory'!$A$2:$A1000,"&lt;"&amp;Today())-SUMIFS('FC inventory'!D$2:D1000,'FC inventory'!$C$2:$C1000,"Spoilage",'FC inventory'!$B$2:$B1000,$A7,'FC inventory'!$A$2:$A1000,"&lt;"&amp;today()))+ (SUMIFS('FC inventory'!D$2:D1000,'FC inventory'!$C$2:$C1000,"In",'FC inventory'!$B$2:$B1000,$A7,'FC inventory'!$A$2:$A1000,Today()))-(SUMIFS('FC inventory'!D$2:D1000,'FC inventory'!$C$2:$C1000,"Out",'FC inventory'!$B$2:$B1000,$A7,'FC inventory'!$A$2:$A1000,Today()) - (SUMIFS('FC inventory'!D$2:D1000,'FC inventory'!$C$2:$C1000,"Retuned",'FC inventory'!$B$2:$B1000,$A7,'FC inventory'!$A$2:$A1000,Today()) - (SUMIFS('FC inventory'!D$2:D1000,'FC inventory'!$C$2:$C1000,"Spoilage",'FC inventory'!$B$2:$B1000,$A7,'FC inventory'!$A$2:$A1000,Today()))))</f>
        <v>6</v>
      </c>
      <c r="C7" s="29">
        <f>(SUMIFS('FC inventory'!E$2:E1000,'FC inventory'!$C$2:$C1000,"In",'FC inventory'!$B$2:$B1000,$A7,'FC inventory'!$A$2:$A1000,"&lt;"&amp;Today())-SUMIFS('FC inventory'!E$2:E1000,'FC inventory'!$C$2:$C1000,"Out",'FC inventory'!$B$2:$B1000,$A7,'FC inventory'!$A$2:$A1000,"&lt;"&amp;Today())+SUMIFS('FC inventory'!E$2:E1000,'FC inventory'!$C$2:$C1000,"Return",'FC inventory'!$B$2:$B1000,$A7,'FC inventory'!$A$2:$A1000,"&lt;"&amp;Today())-SUMIFS('FC inventory'!E$2:E1000,'FC inventory'!$C$2:$C1000,"Spoilage",'FC inventory'!$B$2:$B1000,$A7,'FC inventory'!$A$2:$A1000,"&lt;"&amp;today()))+ (SUMIFS('FC inventory'!E$2:E1000,'FC inventory'!$C$2:$C1000,"In",'FC inventory'!$B$2:$B1000,$A7,'FC inventory'!$A$2:$A1000,Today()))-(SUMIFS('FC inventory'!E$2:E1000,'FC inventory'!$C$2:$C1000,"Out",'FC inventory'!$B$2:$B1000,$A7,'FC inventory'!$A$2:$A1000,Today()) - (SUMIFS('FC inventory'!E$2:E1000,'FC inventory'!$C$2:$C1000,"Retuned",'FC inventory'!$B$2:$B1000,$A7,'FC inventory'!$A$2:$A1000,Today()) - (SUMIFS('FC inventory'!E$2:E1000,'FC inventory'!$C$2:$C1000,"Spoilage",'FC inventory'!$B$2:$B1000,$A7,'FC inventory'!$A$2:$A1000,Today()))))</f>
        <v>0</v>
      </c>
      <c r="D7" s="29">
        <f>(SUMIFS('FC inventory'!F$2:F1000,'FC inventory'!$C$2:$C1000,"In",'FC inventory'!$B$2:$B1000,$A7,'FC inventory'!$A$2:$A1000,"&lt;"&amp;Today())-SUMIFS('FC inventory'!F$2:F1000,'FC inventory'!$C$2:$C1000,"Out",'FC inventory'!$B$2:$B1000,$A7,'FC inventory'!$A$2:$A1000,"&lt;"&amp;Today())+SUMIFS('FC inventory'!F$2:F1000,'FC inventory'!$C$2:$C1000,"Return",'FC inventory'!$B$2:$B1000,$A7,'FC inventory'!$A$2:$A1000,"&lt;"&amp;Today())-SUMIFS('FC inventory'!F$2:F1000,'FC inventory'!$C$2:$C1000,"Spoilage",'FC inventory'!$B$2:$B1000,$A7,'FC inventory'!$A$2:$A1000,"&lt;"&amp;today()))+ (SUMIFS('FC inventory'!F$2:F1000,'FC inventory'!$C$2:$C1000,"In",'FC inventory'!$B$2:$B1000,$A7,'FC inventory'!$A$2:$A1000,Today()))-(SUMIFS('FC inventory'!F$2:F1000,'FC inventory'!$C$2:$C1000,"Out",'FC inventory'!$B$2:$B1000,$A7,'FC inventory'!$A$2:$A1000,Today()) - (SUMIFS('FC inventory'!F$2:F1000,'FC inventory'!$C$2:$C1000,"Retuned",'FC inventory'!$B$2:$B1000,$A7,'FC inventory'!$A$2:$A1000,Today()) - (SUMIFS('FC inventory'!F$2:F1000,'FC inventory'!$C$2:$C1000,"Spoilage",'FC inventory'!$B$2:$B1000,$A7,'FC inventory'!$A$2:$A1000,Today()))))</f>
        <v>1</v>
      </c>
      <c r="E7" s="29">
        <f>(SUMIFS('FC inventory'!G$2:G1000,'FC inventory'!$C$2:$C1000,"In",'FC inventory'!$B$2:$B1000,$A7,'FC inventory'!$A$2:$A1000,"&lt;"&amp;Today())-SUMIFS('FC inventory'!G$2:G1000,'FC inventory'!$C$2:$C1000,"Out",'FC inventory'!$B$2:$B1000,$A7,'FC inventory'!$A$2:$A1000,"&lt;"&amp;Today())+SUMIFS('FC inventory'!G$2:G1000,'FC inventory'!$C$2:$C1000,"Return",'FC inventory'!$B$2:$B1000,$A7,'FC inventory'!$A$2:$A1000,"&lt;"&amp;Today())-SUMIFS('FC inventory'!G$2:G1000,'FC inventory'!$C$2:$C1000,"Spoilage",'FC inventory'!$B$2:$B1000,$A7,'FC inventory'!$A$2:$A1000,"&lt;"&amp;today()))+ (SUMIFS('FC inventory'!G$2:G1000,'FC inventory'!$C$2:$C1000,"In",'FC inventory'!$B$2:$B1000,$A7,'FC inventory'!$A$2:$A1000,Today()))-(SUMIFS('FC inventory'!G$2:G1000,'FC inventory'!$C$2:$C1000,"Out",'FC inventory'!$B$2:$B1000,$A7,'FC inventory'!$A$2:$A1000,Today()) - (SUMIFS('FC inventory'!G$2:G1000,'FC inventory'!$C$2:$C1000,"Retuned",'FC inventory'!$B$2:$B1000,$A7,'FC inventory'!$A$2:$A1000,Today()) - (SUMIFS('FC inventory'!G$2:G1000,'FC inventory'!$C$2:$C1000,"Spoilage",'FC inventory'!$B$2:$B1000,$A7,'FC inventory'!$A$2:$A1000,Today()))))</f>
        <v>3</v>
      </c>
      <c r="F7" s="29">
        <f>(SUMIFS('FC inventory'!H$2:H1000,'FC inventory'!$C$2:$C1000,"In",'FC inventory'!$B$2:$B1000,$A7,'FC inventory'!$A$2:$A1000,"&lt;"&amp;Today())-SUMIFS('FC inventory'!H$2:H1000,'FC inventory'!$C$2:$C1000,"Out",'FC inventory'!$B$2:$B1000,$A7,'FC inventory'!$A$2:$A1000,"&lt;"&amp;Today())+SUMIFS('FC inventory'!H$2:H1000,'FC inventory'!$C$2:$C1000,"Return",'FC inventory'!$B$2:$B1000,$A7,'FC inventory'!$A$2:$A1000,"&lt;"&amp;Today())-SUMIFS('FC inventory'!H$2:H1000,'FC inventory'!$C$2:$C1000,"Spoilage",'FC inventory'!$B$2:$B1000,$A7,'FC inventory'!$A$2:$A1000,"&lt;"&amp;today()))+ (SUMIFS('FC inventory'!H$2:H1000,'FC inventory'!$C$2:$C1000,"In",'FC inventory'!$B$2:$B1000,$A7,'FC inventory'!$A$2:$A1000,Today()))-(SUMIFS('FC inventory'!H$2:H1000,'FC inventory'!$C$2:$C1000,"Out",'FC inventory'!$B$2:$B1000,$A7,'FC inventory'!$A$2:$A1000,Today()) - (SUMIFS('FC inventory'!H$2:H1000,'FC inventory'!$C$2:$C1000,"Retuned",'FC inventory'!$B$2:$B1000,$A7,'FC inventory'!$A$2:$A1000,Today()) - (SUMIFS('FC inventory'!H$2:H1000,'FC inventory'!$C$2:$C1000,"Spoilage",'FC inventory'!$B$2:$B1000,$A7,'FC inventory'!$A$2:$A1000,Today()))))</f>
        <v>0</v>
      </c>
      <c r="G7" s="29">
        <f>(SUMIFS('FC inventory'!I$2:I1000,'FC inventory'!$C$2:$C1000,"In",'FC inventory'!$B$2:$B1000,$A7,'FC inventory'!$A$2:$A1000,"&lt;"&amp;Today())-SUMIFS('FC inventory'!I$2:I1000,'FC inventory'!$C$2:$C1000,"Out",'FC inventory'!$B$2:$B1000,$A7,'FC inventory'!$A$2:$A1000,"&lt;"&amp;Today())+SUMIFS('FC inventory'!I$2:I1000,'FC inventory'!$C$2:$C1000,"Return",'FC inventory'!$B$2:$B1000,$A7,'FC inventory'!$A$2:$A1000,"&lt;"&amp;Today())-SUMIFS('FC inventory'!I$2:I1000,'FC inventory'!$C$2:$C1000,"Spoilage",'FC inventory'!$B$2:$B1000,$A7,'FC inventory'!$A$2:$A1000,"&lt;"&amp;today()))+ (SUMIFS('FC inventory'!I$2:I1000,'FC inventory'!$C$2:$C1000,"In",'FC inventory'!$B$2:$B1000,$A7,'FC inventory'!$A$2:$A1000,Today()))-(SUMIFS('FC inventory'!I$2:I1000,'FC inventory'!$C$2:$C1000,"Out",'FC inventory'!$B$2:$B1000,$A7,'FC inventory'!$A$2:$A1000,Today()) - (SUMIFS('FC inventory'!I$2:I1000,'FC inventory'!$C$2:$C1000,"Retuned",'FC inventory'!$B$2:$B1000,$A7,'FC inventory'!$A$2:$A1000,Today()) - (SUMIFS('FC inventory'!I$2:I1000,'FC inventory'!$C$2:$C1000,"Spoilage",'FC inventory'!$B$2:$B1000,$A7,'FC inventory'!$A$2:$A1000,Today()))))</f>
        <v>56</v>
      </c>
      <c r="H7" s="29">
        <f>(SUMIFS('FC inventory'!J$2:J1000,'FC inventory'!$C$2:$C1000,"In",'FC inventory'!$B$2:$B1000,$A7,'FC inventory'!$A$2:$A1000,"&lt;"&amp;Today())-SUMIFS('FC inventory'!J$2:J1000,'FC inventory'!$C$2:$C1000,"Out",'FC inventory'!$B$2:$B1000,$A7,'FC inventory'!$A$2:$A1000,"&lt;"&amp;Today())+SUMIFS('FC inventory'!J$2:J1000,'FC inventory'!$C$2:$C1000,"Return",'FC inventory'!$B$2:$B1000,$A7,'FC inventory'!$A$2:$A1000,"&lt;"&amp;Today())-SUMIFS('FC inventory'!J$2:J1000,'FC inventory'!$C$2:$C1000,"Spoilage",'FC inventory'!$B$2:$B1000,$A7,'FC inventory'!$A$2:$A1000,"&lt;"&amp;today()))+ (SUMIFS('FC inventory'!J$2:J1000,'FC inventory'!$C$2:$C1000,"In",'FC inventory'!$B$2:$B1000,$A7,'FC inventory'!$A$2:$A1000,Today()))-(SUMIFS('FC inventory'!J$2:J1000,'FC inventory'!$C$2:$C1000,"Out",'FC inventory'!$B$2:$B1000,$A7,'FC inventory'!$A$2:$A1000,Today()) - (SUMIFS('FC inventory'!J$2:J1000,'FC inventory'!$C$2:$C1000,"Retuned",'FC inventory'!$B$2:$B1000,$A7,'FC inventory'!$A$2:$A1000,Today()) - (SUMIFS('FC inventory'!J$2:J1000,'FC inventory'!$C$2:$C1000,"Spoilage",'FC inventory'!$B$2:$B1000,$A7,'FC inventory'!$A$2:$A1000,Today()))))</f>
        <v>0</v>
      </c>
      <c r="I7" s="29">
        <f>(SUMIFS('FC inventory'!K$2:K1000,'FC inventory'!$C$2:$C1000,"In",'FC inventory'!$B$2:$B1000,$A7,'FC inventory'!$A$2:$A1000,"&lt;"&amp;Today())-SUMIFS('FC inventory'!K$2:K1000,'FC inventory'!$C$2:$C1000,"Out",'FC inventory'!$B$2:$B1000,$A7,'FC inventory'!$A$2:$A1000,"&lt;"&amp;Today())+SUMIFS('FC inventory'!K$2:K1000,'FC inventory'!$C$2:$C1000,"Return",'FC inventory'!$B$2:$B1000,$A7,'FC inventory'!$A$2:$A1000,"&lt;"&amp;Today())-SUMIFS('FC inventory'!K$2:K1000,'FC inventory'!$C$2:$C1000,"Spoilage",'FC inventory'!$B$2:$B1000,$A7,'FC inventory'!$A$2:$A1000,"&lt;"&amp;today()))+ (SUMIFS('FC inventory'!K$2:K1000,'FC inventory'!$C$2:$C1000,"In",'FC inventory'!$B$2:$B1000,$A7,'FC inventory'!$A$2:$A1000,Today()))-(SUMIFS('FC inventory'!K$2:K1000,'FC inventory'!$C$2:$C1000,"Out",'FC inventory'!$B$2:$B1000,$A7,'FC inventory'!$A$2:$A1000,Today()) - (SUMIFS('FC inventory'!K$2:K1000,'FC inventory'!$C$2:$C1000,"Retuned",'FC inventory'!$B$2:$B1000,$A7,'FC inventory'!$A$2:$A1000,Today()) - (SUMIFS('FC inventory'!K$2:K1000,'FC inventory'!$C$2:$C1000,"Spoilage",'FC inventory'!$B$2:$B1000,$A7,'FC inventory'!$A$2:$A1000,Today()))))</f>
        <v>0</v>
      </c>
      <c r="J7" s="29">
        <f>(SUMIFS('FC inventory'!L$2:L1000,'FC inventory'!$C$2:$C1000,"In",'FC inventory'!$B$2:$B1000,$A7,'FC inventory'!$A$2:$A1000,"&lt;"&amp;Today())-SUMIFS('FC inventory'!L$2:L1000,'FC inventory'!$C$2:$C1000,"Out",'FC inventory'!$B$2:$B1000,$A7,'FC inventory'!$A$2:$A1000,"&lt;"&amp;Today())+SUMIFS('FC inventory'!L$2:L1000,'FC inventory'!$C$2:$C1000,"Return",'FC inventory'!$B$2:$B1000,$A7,'FC inventory'!$A$2:$A1000,"&lt;"&amp;Today())-SUMIFS('FC inventory'!L$2:L1000,'FC inventory'!$C$2:$C1000,"Spoilage",'FC inventory'!$B$2:$B1000,$A7,'FC inventory'!$A$2:$A1000,"&lt;"&amp;today()))+ (SUMIFS('FC inventory'!L$2:L1000,'FC inventory'!$C$2:$C1000,"In",'FC inventory'!$B$2:$B1000,$A7,'FC inventory'!$A$2:$A1000,Today()))-(SUMIFS('FC inventory'!L$2:L1000,'FC inventory'!$C$2:$C1000,"Out",'FC inventory'!$B$2:$B1000,$A7,'FC inventory'!$A$2:$A1000,Today()) - (SUMIFS('FC inventory'!L$2:L1000,'FC inventory'!$C$2:$C1000,"Retuned",'FC inventory'!$B$2:$B1000,$A7,'FC inventory'!$A$2:$A1000,Today()) - (SUMIFS('FC inventory'!L$2:L1000,'FC inventory'!$C$2:$C1000,"Spoilage",'FC inventory'!$B$2:$B1000,$A7,'FC inventory'!$A$2:$A1000,Today()))))</f>
        <v>0</v>
      </c>
      <c r="K7" s="29">
        <f>(SUMIFS('FC inventory'!M$2:M1000,'FC inventory'!$C$2:$C1000,"In",'FC inventory'!$B$2:$B1000,$A7,'FC inventory'!$A$2:$A1000,"&lt;"&amp;Today())-SUMIFS('FC inventory'!M$2:M1000,'FC inventory'!$C$2:$C1000,"Out",'FC inventory'!$B$2:$B1000,$A7,'FC inventory'!$A$2:$A1000,"&lt;"&amp;Today())+SUMIFS('FC inventory'!M$2:M1000,'FC inventory'!$C$2:$C1000,"Return",'FC inventory'!$B$2:$B1000,$A7,'FC inventory'!$A$2:$A1000,"&lt;"&amp;Today())-SUMIFS('FC inventory'!M$2:M1000,'FC inventory'!$C$2:$C1000,"Spoilage",'FC inventory'!$B$2:$B1000,$A7,'FC inventory'!$A$2:$A1000,"&lt;"&amp;today()))+ (SUMIFS('FC inventory'!M$2:M1000,'FC inventory'!$C$2:$C1000,"In",'FC inventory'!$B$2:$B1000,$A7,'FC inventory'!$A$2:$A1000,Today()))-(SUMIFS('FC inventory'!M$2:M1000,'FC inventory'!$C$2:$C1000,"Out",'FC inventory'!$B$2:$B1000,$A7,'FC inventory'!$A$2:$A1000,Today()) - (SUMIFS('FC inventory'!M$2:M1000,'FC inventory'!$C$2:$C1000,"Retuned",'FC inventory'!$B$2:$B1000,$A7,'FC inventory'!$A$2:$A1000,Today()) - (SUMIFS('FC inventory'!M$2:M1000,'FC inventory'!$C$2:$C1000,"Spoilage",'FC inventory'!$B$2:$B1000,$A7,'FC inventory'!$A$2:$A1000,Today()))))</f>
        <v>0</v>
      </c>
      <c r="L7" s="29">
        <f>(SUMIFS('FC inventory'!N$2:N1000,'FC inventory'!$C$2:$C1000,"In",'FC inventory'!$B$2:$B1000,$A7,'FC inventory'!$A$2:$A1000,"&lt;"&amp;Today())-SUMIFS('FC inventory'!N$2:N1000,'FC inventory'!$C$2:$C1000,"Out",'FC inventory'!$B$2:$B1000,$A7,'FC inventory'!$A$2:$A1000,"&lt;"&amp;Today())+SUMIFS('FC inventory'!N$2:N1000,'FC inventory'!$C$2:$C1000,"Return",'FC inventory'!$B$2:$B1000,$A7,'FC inventory'!$A$2:$A1000,"&lt;"&amp;Today())-SUMIFS('FC inventory'!N$2:N1000,'FC inventory'!$C$2:$C1000,"Spoilage",'FC inventory'!$B$2:$B1000,$A7,'FC inventory'!$A$2:$A1000,"&lt;"&amp;today()))+ (SUMIFS('FC inventory'!N$2:N1000,'FC inventory'!$C$2:$C1000,"In",'FC inventory'!$B$2:$B1000,$A7,'FC inventory'!$A$2:$A1000,Today()))-(SUMIFS('FC inventory'!N$2:N1000,'FC inventory'!$C$2:$C1000,"Out",'FC inventory'!$B$2:$B1000,$A7,'FC inventory'!$A$2:$A1000,Today()) - (SUMIFS('FC inventory'!N$2:N1000,'FC inventory'!$C$2:$C1000,"Retuned",'FC inventory'!$B$2:$B1000,$A7,'FC inventory'!$A$2:$A1000,Today()) - (SUMIFS('FC inventory'!N$2:N1000,'FC inventory'!$C$2:$C1000,"Spoilage",'FC inventory'!$B$2:$B1000,$A7,'FC inventory'!$A$2:$A1000,Today()))))</f>
        <v>1</v>
      </c>
      <c r="M7" s="29">
        <f>(SUMIFS('FC inventory'!O$2:O1000,'FC inventory'!$C$2:$C1000,"In",'FC inventory'!$B$2:$B1000,$A7,'FC inventory'!$A$2:$A1000,"&lt;"&amp;Today())-SUMIFS('FC inventory'!O$2:O1000,'FC inventory'!$C$2:$C1000,"Out",'FC inventory'!$B$2:$B1000,$A7,'FC inventory'!$A$2:$A1000,"&lt;"&amp;Today())+SUMIFS('FC inventory'!O$2:O1000,'FC inventory'!$C$2:$C1000,"Return",'FC inventory'!$B$2:$B1000,$A7,'FC inventory'!$A$2:$A1000,"&lt;"&amp;Today())-SUMIFS('FC inventory'!O$2:O1000,'FC inventory'!$C$2:$C1000,"Spoilage",'FC inventory'!$B$2:$B1000,$A7,'FC inventory'!$A$2:$A1000,"&lt;"&amp;today()))+ (SUMIFS('FC inventory'!O$2:O1000,'FC inventory'!$C$2:$C1000,"In",'FC inventory'!$B$2:$B1000,$A7,'FC inventory'!$A$2:$A1000,Today()))-(SUMIFS('FC inventory'!O$2:O1000,'FC inventory'!$C$2:$C1000,"Out",'FC inventory'!$B$2:$B1000,$A7,'FC inventory'!$A$2:$A1000,Today()) - (SUMIFS('FC inventory'!O$2:O1000,'FC inventory'!$C$2:$C1000,"Retuned",'FC inventory'!$B$2:$B1000,$A7,'FC inventory'!$A$2:$A1000,Today()) - (SUMIFS('FC inventory'!O$2:O1000,'FC inventory'!$C$2:$C1000,"Spoilage",'FC inventory'!$B$2:$B1000,$A7,'FC inventory'!$A$2:$A1000,Today()))))</f>
        <v>2</v>
      </c>
      <c r="N7" s="29">
        <f>(SUMIFS('FC inventory'!P$2:P1000,'FC inventory'!$C$2:$C1000,"In",'FC inventory'!$B$2:$B1000,$A7,'FC inventory'!$A$2:$A1000,"&lt;"&amp;Today())-SUMIFS('FC inventory'!P$2:P1000,'FC inventory'!$C$2:$C1000,"Out",'FC inventory'!$B$2:$B1000,$A7,'FC inventory'!$A$2:$A1000,"&lt;"&amp;Today())+SUMIFS('FC inventory'!P$2:P1000,'FC inventory'!$C$2:$C1000,"Return",'FC inventory'!$B$2:$B1000,$A7,'FC inventory'!$A$2:$A1000,"&lt;"&amp;Today())-SUMIFS('FC inventory'!P$2:P1000,'FC inventory'!$C$2:$C1000,"Spoilage",'FC inventory'!$B$2:$B1000,$A7,'FC inventory'!$A$2:$A1000,"&lt;"&amp;today()))+ (SUMIFS('FC inventory'!P$2:P1000,'FC inventory'!$C$2:$C1000,"In",'FC inventory'!$B$2:$B1000,$A7,'FC inventory'!$A$2:$A1000,Today()))-(SUMIFS('FC inventory'!P$2:P1000,'FC inventory'!$C$2:$C1000,"Out",'FC inventory'!$B$2:$B1000,$A7,'FC inventory'!$A$2:$A1000,Today()) - (SUMIFS('FC inventory'!P$2:P1000,'FC inventory'!$C$2:$C1000,"Retuned",'FC inventory'!$B$2:$B1000,$A7,'FC inventory'!$A$2:$A1000,Today()) - (SUMIFS('FC inventory'!P$2:P1000,'FC inventory'!$C$2:$C1000,"Spoilage",'FC inventory'!$B$2:$B1000,$A7,'FC inventory'!$A$2:$A1000,Today()))))</f>
        <v>0</v>
      </c>
      <c r="O7" s="29">
        <f>(SUMIFS('FC inventory'!Q$2:Q1000,'FC inventory'!$C$2:$C1000,"In",'FC inventory'!$B$2:$B1000,$A7,'FC inventory'!$A$2:$A1000,"&lt;"&amp;Today())-SUMIFS('FC inventory'!Q$2:Q1000,'FC inventory'!$C$2:$C1000,"Out",'FC inventory'!$B$2:$B1000,$A7,'FC inventory'!$A$2:$A1000,"&lt;"&amp;Today())+SUMIFS('FC inventory'!Q$2:Q1000,'FC inventory'!$C$2:$C1000,"Return",'FC inventory'!$B$2:$B1000,$A7,'FC inventory'!$A$2:$A1000,"&lt;"&amp;Today())-SUMIFS('FC inventory'!Q$2:Q1000,'FC inventory'!$C$2:$C1000,"Spoilage",'FC inventory'!$B$2:$B1000,$A7,'FC inventory'!$A$2:$A1000,"&lt;"&amp;today()))+ (SUMIFS('FC inventory'!Q$2:Q1000,'FC inventory'!$C$2:$C1000,"In",'FC inventory'!$B$2:$B1000,$A7,'FC inventory'!$A$2:$A1000,Today()))-(SUMIFS('FC inventory'!Q$2:Q1000,'FC inventory'!$C$2:$C1000,"Out",'FC inventory'!$B$2:$B1000,$A7,'FC inventory'!$A$2:$A1000,Today()) - (SUMIFS('FC inventory'!Q$2:Q1000,'FC inventory'!$C$2:$C1000,"Retuned",'FC inventory'!$B$2:$B1000,$A7,'FC inventory'!$A$2:$A1000,Today()) - (SUMIFS('FC inventory'!Q$2:Q1000,'FC inventory'!$C$2:$C1000,"Spoilage",'FC inventory'!$B$2:$B1000,$A7,'FC inventory'!$A$2:$A1000,Today()))))</f>
        <v>11</v>
      </c>
      <c r="P7" s="29">
        <f>(SUMIFS('FC inventory'!R$2:R1000,'FC inventory'!$C$2:$C1000,"In",'FC inventory'!$B$2:$B1000,$A7,'FC inventory'!$A$2:$A1000,"&lt;"&amp;Today())-SUMIFS('FC inventory'!R$2:R1000,'FC inventory'!$C$2:$C1000,"Out",'FC inventory'!$B$2:$B1000,$A7,'FC inventory'!$A$2:$A1000,"&lt;"&amp;Today())+SUMIFS('FC inventory'!R$2:R1000,'FC inventory'!$C$2:$C1000,"Return",'FC inventory'!$B$2:$B1000,$A7,'FC inventory'!$A$2:$A1000,"&lt;"&amp;Today())-SUMIFS('FC inventory'!R$2:R1000,'FC inventory'!$C$2:$C1000,"Spoilage",'FC inventory'!$B$2:$B1000,$A7,'FC inventory'!$A$2:$A1000,"&lt;"&amp;today()))+ (SUMIFS('FC inventory'!R$2:R1000,'FC inventory'!$C$2:$C1000,"In",'FC inventory'!$B$2:$B1000,$A7,'FC inventory'!$A$2:$A1000,Today()))-(SUMIFS('FC inventory'!R$2:R1000,'FC inventory'!$C$2:$C1000,"Out",'FC inventory'!$B$2:$B1000,$A7,'FC inventory'!$A$2:$A1000,Today()) - (SUMIFS('FC inventory'!R$2:R1000,'FC inventory'!$C$2:$C1000,"Retuned",'FC inventory'!$B$2:$B1000,$A7,'FC inventory'!$A$2:$A1000,Today()) - (SUMIFS('FC inventory'!R$2:R1000,'FC inventory'!$C$2:$C1000,"Spoilage",'FC inventory'!$B$2:$B1000,$A7,'FC inventory'!$A$2:$A1000,Today()))))</f>
        <v>8</v>
      </c>
      <c r="Q7" s="29">
        <f>(SUMIFS('FC inventory'!S$2:S1000,'FC inventory'!$C$2:$C1000,"In",'FC inventory'!$B$2:$B1000,$A7,'FC inventory'!$A$2:$A1000,"&lt;"&amp;Today())-SUMIFS('FC inventory'!S$2:S1000,'FC inventory'!$C$2:$C1000,"Out",'FC inventory'!$B$2:$B1000,$A7,'FC inventory'!$A$2:$A1000,"&lt;"&amp;Today())+SUMIFS('FC inventory'!S$2:S1000,'FC inventory'!$C$2:$C1000,"Return",'FC inventory'!$B$2:$B1000,$A7,'FC inventory'!$A$2:$A1000,"&lt;"&amp;Today())-SUMIFS('FC inventory'!S$2:S1000,'FC inventory'!$C$2:$C1000,"Spoilage",'FC inventory'!$B$2:$B1000,$A7,'FC inventory'!$A$2:$A1000,"&lt;"&amp;today()))+ (SUMIFS('FC inventory'!S$2:S1000,'FC inventory'!$C$2:$C1000,"In",'FC inventory'!$B$2:$B1000,$A7,'FC inventory'!$A$2:$A1000,Today()))-(SUMIFS('FC inventory'!S$2:S1000,'FC inventory'!$C$2:$C1000,"Out",'FC inventory'!$B$2:$B1000,$A7,'FC inventory'!$A$2:$A1000,Today()) - (SUMIFS('FC inventory'!S$2:S1000,'FC inventory'!$C$2:$C1000,"Retuned",'FC inventory'!$B$2:$B1000,$A7,'FC inventory'!$A$2:$A1000,Today()) - (SUMIFS('FC inventory'!S$2:S1000,'FC inventory'!$C$2:$C1000,"Spoilage",'FC inventory'!$B$2:$B1000,$A7,'FC inventory'!$A$2:$A1000,Today()))))</f>
        <v>0</v>
      </c>
      <c r="R7" s="29">
        <f>(SUMIFS('FC inventory'!T$2:T1000,'FC inventory'!$C$2:$C1000,"In",'FC inventory'!$B$2:$B1000,$A7,'FC inventory'!$A$2:$A1000,"&lt;"&amp;Today())-SUMIFS('FC inventory'!T$2:T1000,'FC inventory'!$C$2:$C1000,"Out",'FC inventory'!$B$2:$B1000,$A7,'FC inventory'!$A$2:$A1000,"&lt;"&amp;Today())+SUMIFS('FC inventory'!T$2:T1000,'FC inventory'!$C$2:$C1000,"Return",'FC inventory'!$B$2:$B1000,$A7,'FC inventory'!$A$2:$A1000,"&lt;"&amp;Today())-SUMIFS('FC inventory'!T$2:T1000,'FC inventory'!$C$2:$C1000,"Spoilage",'FC inventory'!$B$2:$B1000,$A7,'FC inventory'!$A$2:$A1000,"&lt;"&amp;today()))+ (SUMIFS('FC inventory'!T$2:T1000,'FC inventory'!$C$2:$C1000,"In",'FC inventory'!$B$2:$B1000,$A7,'FC inventory'!$A$2:$A1000,Today()))-(SUMIFS('FC inventory'!T$2:T1000,'FC inventory'!$C$2:$C1000,"Out",'FC inventory'!$B$2:$B1000,$A7,'FC inventory'!$A$2:$A1000,Today()) - (SUMIFS('FC inventory'!T$2:T1000,'FC inventory'!$C$2:$C1000,"Retuned",'FC inventory'!$B$2:$B1000,$A7,'FC inventory'!$A$2:$A1000,Today()) - (SUMIFS('FC inventory'!T$2:T1000,'FC inventory'!$C$2:$C1000,"Spoilage",'FC inventory'!$B$2:$B1000,$A7,'FC inventory'!$A$2:$A1000,Today()))))</f>
        <v>0</v>
      </c>
      <c r="S7" s="29">
        <f>(SUMIFS('FC inventory'!U$2:U1000,'FC inventory'!$C$2:$C1000,"In",'FC inventory'!$B$2:$B1000,$A7,'FC inventory'!$A$2:$A1000,"&lt;"&amp;Today())-SUMIFS('FC inventory'!U$2:U1000,'FC inventory'!$C$2:$C1000,"Out",'FC inventory'!$B$2:$B1000,$A7,'FC inventory'!$A$2:$A1000,"&lt;"&amp;Today())+SUMIFS('FC inventory'!U$2:U1000,'FC inventory'!$C$2:$C1000,"Return",'FC inventory'!$B$2:$B1000,$A7,'FC inventory'!$A$2:$A1000,"&lt;"&amp;Today())-SUMIFS('FC inventory'!U$2:U1000,'FC inventory'!$C$2:$C1000,"Spoilage",'FC inventory'!$B$2:$B1000,$A7,'FC inventory'!$A$2:$A1000,"&lt;"&amp;today()))+ (SUMIFS('FC inventory'!U$2:U1000,'FC inventory'!$C$2:$C1000,"In",'FC inventory'!$B$2:$B1000,$A7,'FC inventory'!$A$2:$A1000,Today()))-(SUMIFS('FC inventory'!U$2:U1000,'FC inventory'!$C$2:$C1000,"Out",'FC inventory'!$B$2:$B1000,$A7,'FC inventory'!$A$2:$A1000,Today()) - (SUMIFS('FC inventory'!U$2:U1000,'FC inventory'!$C$2:$C1000,"Retuned",'FC inventory'!$B$2:$B1000,$A7,'FC inventory'!$A$2:$A1000,Today()) - (SUMIFS('FC inventory'!U$2:U1000,'FC inventory'!$C$2:$C1000,"Spoilage",'FC inventory'!$B$2:$B1000,$A7,'FC inventory'!$A$2:$A1000,Today()))))</f>
        <v>0</v>
      </c>
      <c r="T7" s="29">
        <f>(SUMIFS('FC inventory'!V$2:V1000,'FC inventory'!$C$2:$C1000,"In",'FC inventory'!$B$2:$B1000,$A7,'FC inventory'!$A$2:$A1000,"&lt;"&amp;Today())-SUMIFS('FC inventory'!V$2:V1000,'FC inventory'!$C$2:$C1000,"Out",'FC inventory'!$B$2:$B1000,$A7,'FC inventory'!$A$2:$A1000,"&lt;"&amp;Today())+SUMIFS('FC inventory'!V$2:V1000,'FC inventory'!$C$2:$C1000,"Return",'FC inventory'!$B$2:$B1000,$A7,'FC inventory'!$A$2:$A1000,"&lt;"&amp;Today())-SUMIFS('FC inventory'!V$2:V1000,'FC inventory'!$C$2:$C1000,"Spoilage",'FC inventory'!$B$2:$B1000,$A7,'FC inventory'!$A$2:$A1000,"&lt;"&amp;today()))+ (SUMIFS('FC inventory'!V$2:V1000,'FC inventory'!$C$2:$C1000,"In",'FC inventory'!$B$2:$B1000,$A7,'FC inventory'!$A$2:$A1000,Today()))-(SUMIFS('FC inventory'!V$2:V1000,'FC inventory'!$C$2:$C1000,"Out",'FC inventory'!$B$2:$B1000,$A7,'FC inventory'!$A$2:$A1000,Today()) - (SUMIFS('FC inventory'!V$2:V1000,'FC inventory'!$C$2:$C1000,"Retuned",'FC inventory'!$B$2:$B1000,$A7,'FC inventory'!$A$2:$A1000,Today()) - (SUMIFS('FC inventory'!V$2:V1000,'FC inventory'!$C$2:$C1000,"Spoilage",'FC inventory'!$B$2:$B1000,$A7,'FC inventory'!$A$2:$A1000,Today()))))</f>
        <v>0</v>
      </c>
      <c r="U7" s="29">
        <f>(SUMIFS('FC inventory'!W$2:W1000,'FC inventory'!$C$2:$C1000,"In",'FC inventory'!$B$2:$B1000,$A7,'FC inventory'!$A$2:$A1000,"&lt;"&amp;Today())-SUMIFS('FC inventory'!W$2:W1000,'FC inventory'!$C$2:$C1000,"Out",'FC inventory'!$B$2:$B1000,$A7,'FC inventory'!$A$2:$A1000,"&lt;"&amp;Today())+SUMIFS('FC inventory'!W$2:W1000,'FC inventory'!$C$2:$C1000,"Return",'FC inventory'!$B$2:$B1000,$A7,'FC inventory'!$A$2:$A1000,"&lt;"&amp;Today())-SUMIFS('FC inventory'!W$2:W1000,'FC inventory'!$C$2:$C1000,"Spoilage",'FC inventory'!$B$2:$B1000,$A7,'FC inventory'!$A$2:$A1000,"&lt;"&amp;today()))+ (SUMIFS('FC inventory'!W$2:W1000,'FC inventory'!$C$2:$C1000,"In",'FC inventory'!$B$2:$B1000,$A7,'FC inventory'!$A$2:$A1000,Today()))-(SUMIFS('FC inventory'!W$2:W1000,'FC inventory'!$C$2:$C1000,"Out",'FC inventory'!$B$2:$B1000,$A7,'FC inventory'!$A$2:$A1000,Today()) - (SUMIFS('FC inventory'!W$2:W1000,'FC inventory'!$C$2:$C1000,"Retuned",'FC inventory'!$B$2:$B1000,$A7,'FC inventory'!$A$2:$A1000,Today()) - (SUMIFS('FC inventory'!W$2:W1000,'FC inventory'!$C$2:$C1000,"Spoilage",'FC inventory'!$B$2:$B1000,$A7,'FC inventory'!$A$2:$A1000,Today()))))</f>
        <v>20</v>
      </c>
      <c r="V7" s="29">
        <f>(SUMIFS('FC inventory'!X$2:X1000,'FC inventory'!$C$2:$C1000,"In",'FC inventory'!$B$2:$B1000,$A7,'FC inventory'!$A$2:$A1000,"&lt;"&amp;Today())-SUMIFS('FC inventory'!X$2:X1000,'FC inventory'!$C$2:$C1000,"Out",'FC inventory'!$B$2:$B1000,$A7,'FC inventory'!$A$2:$A1000,"&lt;"&amp;Today())+SUMIFS('FC inventory'!X$2:X1000,'FC inventory'!$C$2:$C1000,"Return",'FC inventory'!$B$2:$B1000,$A7,'FC inventory'!$A$2:$A1000,"&lt;"&amp;Today())-SUMIFS('FC inventory'!X$2:X1000,'FC inventory'!$C$2:$C1000,"Spoilage",'FC inventory'!$B$2:$B1000,$A7,'FC inventory'!$A$2:$A1000,"&lt;"&amp;today()))+ (SUMIFS('FC inventory'!X$2:X1000,'FC inventory'!$C$2:$C1000,"In",'FC inventory'!$B$2:$B1000,$A7,'FC inventory'!$A$2:$A1000,Today()))-(SUMIFS('FC inventory'!X$2:X1000,'FC inventory'!$C$2:$C1000,"Out",'FC inventory'!$B$2:$B1000,$A7,'FC inventory'!$A$2:$A1000,Today()) - (SUMIFS('FC inventory'!X$2:X1000,'FC inventory'!$C$2:$C1000,"Retuned",'FC inventory'!$B$2:$B1000,$A7,'FC inventory'!$A$2:$A1000,Today()) - (SUMIFS('FC inventory'!X$2:X1000,'FC inventory'!$C$2:$C1000,"Spoilage",'FC inventory'!$B$2:$B1000,$A7,'FC inventory'!$A$2:$A1000,Today()))))</f>
        <v>3</v>
      </c>
      <c r="W7" s="29">
        <f>(SUMIFS('FC inventory'!Y$2:Y1000,'FC inventory'!$C$2:$C1000,"In",'FC inventory'!$B$2:$B1000,$A7,'FC inventory'!$A$2:$A1000,"&lt;"&amp;Today())-SUMIFS('FC inventory'!Y$2:Y1000,'FC inventory'!$C$2:$C1000,"Out",'FC inventory'!$B$2:$B1000,$A7,'FC inventory'!$A$2:$A1000,"&lt;"&amp;Today())+SUMIFS('FC inventory'!Y$2:Y1000,'FC inventory'!$C$2:$C1000,"Return",'FC inventory'!$B$2:$B1000,$A7,'FC inventory'!$A$2:$A1000,"&lt;"&amp;Today())-SUMIFS('FC inventory'!Y$2:Y1000,'FC inventory'!$C$2:$C1000,"Spoilage",'FC inventory'!$B$2:$B1000,$A7,'FC inventory'!$A$2:$A1000,"&lt;"&amp;today()))+ (SUMIFS('FC inventory'!Y$2:Y1000,'FC inventory'!$C$2:$C1000,"In",'FC inventory'!$B$2:$B1000,$A7,'FC inventory'!$A$2:$A1000,Today()))-(SUMIFS('FC inventory'!Y$2:Y1000,'FC inventory'!$C$2:$C1000,"Out",'FC inventory'!$B$2:$B1000,$A7,'FC inventory'!$A$2:$A1000,Today()) - (SUMIFS('FC inventory'!Y$2:Y1000,'FC inventory'!$C$2:$C1000,"Retuned",'FC inventory'!$B$2:$B1000,$A7,'FC inventory'!$A$2:$A1000,Today()) - (SUMIFS('FC inventory'!Y$2:Y1000,'FC inventory'!$C$2:$C1000,"Spoilage",'FC inventory'!$B$2:$B1000,$A7,'FC inventory'!$A$2:$A1000,Today()))))</f>
        <v>0</v>
      </c>
      <c r="X7" s="29">
        <f>(SUMIFS('FC inventory'!Z$2:Z1000,'FC inventory'!$C$2:$C1000,"In",'FC inventory'!$B$2:$B1000,$A7,'FC inventory'!$A$2:$A1000,"&lt;"&amp;Today())-SUMIFS('FC inventory'!Z$2:Z1000,'FC inventory'!$C$2:$C1000,"Out",'FC inventory'!$B$2:$B1000,$A7,'FC inventory'!$A$2:$A1000,"&lt;"&amp;Today())+SUMIFS('FC inventory'!Z$2:Z1000,'FC inventory'!$C$2:$C1000,"Return",'FC inventory'!$B$2:$B1000,$A7,'FC inventory'!$A$2:$A1000,"&lt;"&amp;Today())-SUMIFS('FC inventory'!Z$2:Z1000,'FC inventory'!$C$2:$C1000,"Spoilage",'FC inventory'!$B$2:$B1000,$A7,'FC inventory'!$A$2:$A1000,"&lt;"&amp;today()))+ (SUMIFS('FC inventory'!Z$2:Z1000,'FC inventory'!$C$2:$C1000,"In",'FC inventory'!$B$2:$B1000,$A7,'FC inventory'!$A$2:$A1000,Today()))-(SUMIFS('FC inventory'!Z$2:Z1000,'FC inventory'!$C$2:$C1000,"Out",'FC inventory'!$B$2:$B1000,$A7,'FC inventory'!$A$2:$A1000,Today()) - (SUMIFS('FC inventory'!Z$2:Z1000,'FC inventory'!$C$2:$C1000,"Retuned",'FC inventory'!$B$2:$B1000,$A7,'FC inventory'!$A$2:$A1000,Today()) - (SUMIFS('FC inventory'!Z$2:Z1000,'FC inventory'!$C$2:$C1000,"Spoilage",'FC inventory'!$B$2:$B1000,$A7,'FC inventory'!$A$2:$A1000,Today()))))</f>
        <v>0</v>
      </c>
      <c r="Y7" s="29">
        <f>(SUMIFS('FC inventory'!AA$2:AA1000,'FC inventory'!$C$2:$C1000,"In",'FC inventory'!$B$2:$B1000,$A7,'FC inventory'!$A$2:$A1000,"&lt;"&amp;Today())-SUMIFS('FC inventory'!AA$2:AA1000,'FC inventory'!$C$2:$C1000,"Out",'FC inventory'!$B$2:$B1000,$A7,'FC inventory'!$A$2:$A1000,"&lt;"&amp;Today())+SUMIFS('FC inventory'!AA$2:AA1000,'FC inventory'!$C$2:$C1000,"Return",'FC inventory'!$B$2:$B1000,$A7,'FC inventory'!$A$2:$A1000,"&lt;"&amp;Today())-SUMIFS('FC inventory'!AA$2:AA1000,'FC inventory'!$C$2:$C1000,"Spoilage",'FC inventory'!$B$2:$B1000,$A7,'FC inventory'!$A$2:$A1000,"&lt;"&amp;today()))+ (SUMIFS('FC inventory'!AA$2:AA1000,'FC inventory'!$C$2:$C1000,"In",'FC inventory'!$B$2:$B1000,$A7,'FC inventory'!$A$2:$A1000,Today()))-(SUMIFS('FC inventory'!AA$2:AA1000,'FC inventory'!$C$2:$C1000,"Out",'FC inventory'!$B$2:$B1000,$A7,'FC inventory'!$A$2:$A1000,Today()) - (SUMIFS('FC inventory'!AA$2:AA1000,'FC inventory'!$C$2:$C1000,"Retuned",'FC inventory'!$B$2:$B1000,$A7,'FC inventory'!$A$2:$A1000,Today()) - (SUMIFS('FC inventory'!AA$2:AA1000,'FC inventory'!$C$2:$C1000,"Spoilage",'FC inventory'!$B$2:$B1000,$A7,'FC inventory'!$A$2:$A1000,Today()))))</f>
        <v>4</v>
      </c>
      <c r="Z7" s="29">
        <f>(SUMIFS('FC inventory'!AB$2:AB1000,'FC inventory'!$C$2:$C1000,"In",'FC inventory'!$B$2:$B1000,$A7,'FC inventory'!$A$2:$A1000,"&lt;"&amp;Today())-SUMIFS('FC inventory'!AB$2:AB1000,'FC inventory'!$C$2:$C1000,"Out",'FC inventory'!$B$2:$B1000,$A7,'FC inventory'!$A$2:$A1000,"&lt;"&amp;Today())+SUMIFS('FC inventory'!AB$2:AB1000,'FC inventory'!$C$2:$C1000,"Return",'FC inventory'!$B$2:$B1000,$A7,'FC inventory'!$A$2:$A1000,"&lt;"&amp;Today())-SUMIFS('FC inventory'!AB$2:AB1000,'FC inventory'!$C$2:$C1000,"Spoilage",'FC inventory'!$B$2:$B1000,$A7,'FC inventory'!$A$2:$A1000,"&lt;"&amp;today()))+ (SUMIFS('FC inventory'!AB$2:AB1000,'FC inventory'!$C$2:$C1000,"In",'FC inventory'!$B$2:$B1000,$A7,'FC inventory'!$A$2:$A1000,Today()))-(SUMIFS('FC inventory'!AB$2:AB1000,'FC inventory'!$C$2:$C1000,"Out",'FC inventory'!$B$2:$B1000,$A7,'FC inventory'!$A$2:$A1000,Today()) - (SUMIFS('FC inventory'!AB$2:AB1000,'FC inventory'!$C$2:$C1000,"Retuned",'FC inventory'!$B$2:$B1000,$A7,'FC inventory'!$A$2:$A1000,Today()) - (SUMIFS('FC inventory'!AB$2:AB1000,'FC inventory'!$C$2:$C1000,"Spoilage",'FC inventory'!$B$2:$B1000,$A7,'FC inventory'!$A$2:$A1000,Today()))))</f>
        <v>0</v>
      </c>
      <c r="AA7" s="29">
        <f>(SUMIFS('FC inventory'!AC$2:AC1000,'FC inventory'!$C$2:$C1000,"In",'FC inventory'!$B$2:$B1000,$A7,'FC inventory'!$A$2:$A1000,"&lt;"&amp;Today())-SUMIFS('FC inventory'!AC$2:AC1000,'FC inventory'!$C$2:$C1000,"Out",'FC inventory'!$B$2:$B1000,$A7,'FC inventory'!$A$2:$A1000,"&lt;"&amp;Today())+SUMIFS('FC inventory'!AC$2:AC1000,'FC inventory'!$C$2:$C1000,"Return",'FC inventory'!$B$2:$B1000,$A7,'FC inventory'!$A$2:$A1000,"&lt;"&amp;Today())-SUMIFS('FC inventory'!AC$2:AC1000,'FC inventory'!$C$2:$C1000,"Spoilage",'FC inventory'!$B$2:$B1000,$A7,'FC inventory'!$A$2:$A1000,"&lt;"&amp;today()))+ (SUMIFS('FC inventory'!AC$2:AC1000,'FC inventory'!$C$2:$C1000,"In",'FC inventory'!$B$2:$B1000,$A7,'FC inventory'!$A$2:$A1000,Today()))-(SUMIFS('FC inventory'!AC$2:AC1000,'FC inventory'!$C$2:$C1000,"Out",'FC inventory'!$B$2:$B1000,$A7,'FC inventory'!$A$2:$A1000,Today()) - (SUMIFS('FC inventory'!AC$2:AC1000,'FC inventory'!$C$2:$C1000,"Retuned",'FC inventory'!$B$2:$B1000,$A7,'FC inventory'!$A$2:$A1000,Today()) - (SUMIFS('FC inventory'!AC$2:AC1000,'FC inventory'!$C$2:$C1000,"Spoilage",'FC inventory'!$B$2:$B1000,$A7,'FC inventory'!$A$2:$A1000,Today()))))</f>
        <v>1</v>
      </c>
      <c r="AB7" s="29">
        <f>(SUMIFS('FC inventory'!AD$2:AD1000,'FC inventory'!$C$2:$C1000,"In",'FC inventory'!$B$2:$B1000,$A7,'FC inventory'!$A$2:$A1000,"&lt;"&amp;Today())-SUMIFS('FC inventory'!AD$2:AD1000,'FC inventory'!$C$2:$C1000,"Out",'FC inventory'!$B$2:$B1000,$A7,'FC inventory'!$A$2:$A1000,"&lt;"&amp;Today())+SUMIFS('FC inventory'!AD$2:AD1000,'FC inventory'!$C$2:$C1000,"Return",'FC inventory'!$B$2:$B1000,$A7,'FC inventory'!$A$2:$A1000,"&lt;"&amp;Today())-SUMIFS('FC inventory'!AD$2:AD1000,'FC inventory'!$C$2:$C1000,"Spoilage",'FC inventory'!$B$2:$B1000,$A7,'FC inventory'!$A$2:$A1000,"&lt;"&amp;today()))+ (SUMIFS('FC inventory'!AD$2:AD1000,'FC inventory'!$C$2:$C1000,"In",'FC inventory'!$B$2:$B1000,$A7,'FC inventory'!$A$2:$A1000,Today()))-(SUMIFS('FC inventory'!AD$2:AD1000,'FC inventory'!$C$2:$C1000,"Out",'FC inventory'!$B$2:$B1000,$A7,'FC inventory'!$A$2:$A1000,Today()) - (SUMIFS('FC inventory'!AD$2:AD1000,'FC inventory'!$C$2:$C1000,"Retuned",'FC inventory'!$B$2:$B1000,$A7,'FC inventory'!$A$2:$A1000,Today()) - (SUMIFS('FC inventory'!AD$2:AD1000,'FC inventory'!$C$2:$C1000,"Spoilage",'FC inventory'!$B$2:$B1000,$A7,'FC inventory'!$A$2:$A1000,Today()))))</f>
        <v>0</v>
      </c>
      <c r="AC7" s="29">
        <f>(SUMIFS('FC inventory'!AE$2:AE1000,'FC inventory'!$C$2:$C1000,"In",'FC inventory'!$B$2:$B1000,$A7,'FC inventory'!$A$2:$A1000,"&lt;"&amp;Today())-SUMIFS('FC inventory'!AE$2:AE1000,'FC inventory'!$C$2:$C1000,"Out",'FC inventory'!$B$2:$B1000,$A7,'FC inventory'!$A$2:$A1000,"&lt;"&amp;Today())+SUMIFS('FC inventory'!AE$2:AE1000,'FC inventory'!$C$2:$C1000,"Return",'FC inventory'!$B$2:$B1000,$A7,'FC inventory'!$A$2:$A1000,"&lt;"&amp;Today())-SUMIFS('FC inventory'!AE$2:AE1000,'FC inventory'!$C$2:$C1000,"Spoilage",'FC inventory'!$B$2:$B1000,$A7,'FC inventory'!$A$2:$A1000,"&lt;"&amp;today()))+ (SUMIFS('FC inventory'!AE$2:AE1000,'FC inventory'!$C$2:$C1000,"In",'FC inventory'!$B$2:$B1000,$A7,'FC inventory'!$A$2:$A1000,Today()))-(SUMIFS('FC inventory'!AE$2:AE1000,'FC inventory'!$C$2:$C1000,"Out",'FC inventory'!$B$2:$B1000,$A7,'FC inventory'!$A$2:$A1000,Today()) - (SUMIFS('FC inventory'!AE$2:AE1000,'FC inventory'!$C$2:$C1000,"Retuned",'FC inventory'!$B$2:$B1000,$A7,'FC inventory'!$A$2:$A1000,Today()) - (SUMIFS('FC inventory'!AE$2:AE1000,'FC inventory'!$C$2:$C1000,"Spoilage",'FC inventory'!$B$2:$B1000,$A7,'FC inventory'!$A$2:$A1000,Today()))))</f>
        <v>0</v>
      </c>
      <c r="AD7" s="29">
        <f>(SUMIFS('FC inventory'!AF$2:AF1000,'FC inventory'!$C$2:$C1000,"In",'FC inventory'!$B$2:$B1000,$A7,'FC inventory'!$A$2:$A1000,"&lt;"&amp;Today())-SUMIFS('FC inventory'!AF$2:AF1000,'FC inventory'!$C$2:$C1000,"Out",'FC inventory'!$B$2:$B1000,$A7,'FC inventory'!$A$2:$A1000,"&lt;"&amp;Today())+SUMIFS('FC inventory'!AF$2:AF1000,'FC inventory'!$C$2:$C1000,"Return",'FC inventory'!$B$2:$B1000,$A7,'FC inventory'!$A$2:$A1000,"&lt;"&amp;Today())-SUMIFS('FC inventory'!AF$2:AF1000,'FC inventory'!$C$2:$C1000,"Spoilage",'FC inventory'!$B$2:$B1000,$A7,'FC inventory'!$A$2:$A1000,"&lt;"&amp;today()))+ (SUMIFS('FC inventory'!AF$2:AF1000,'FC inventory'!$C$2:$C1000,"In",'FC inventory'!$B$2:$B1000,$A7,'FC inventory'!$A$2:$A1000,Today()))-(SUMIFS('FC inventory'!AF$2:AF1000,'FC inventory'!$C$2:$C1000,"Out",'FC inventory'!$B$2:$B1000,$A7,'FC inventory'!$A$2:$A1000,Today()) - (SUMIFS('FC inventory'!AF$2:AF1000,'FC inventory'!$C$2:$C1000,"Retuned",'FC inventory'!$B$2:$B1000,$A7,'FC inventory'!$A$2:$A1000,Today()) - (SUMIFS('FC inventory'!AF$2:AF1000,'FC inventory'!$C$2:$C1000,"Spoilage",'FC inventory'!$B$2:$B1000,$A7,'FC inventory'!$A$2:$A1000,Today()))))</f>
        <v>0</v>
      </c>
      <c r="AE7" s="29">
        <f>(SUMIFS('FC inventory'!AG$2:AG1000,'FC inventory'!$C$2:$C1000,"In",'FC inventory'!$B$2:$B1000,$A7,'FC inventory'!$A$2:$A1000,"&lt;"&amp;Today())-SUMIFS('FC inventory'!AG$2:AG1000,'FC inventory'!$C$2:$C1000,"Out",'FC inventory'!$B$2:$B1000,$A7,'FC inventory'!$A$2:$A1000,"&lt;"&amp;Today())+SUMIFS('FC inventory'!AG$2:AG1000,'FC inventory'!$C$2:$C1000,"Return",'FC inventory'!$B$2:$B1000,$A7,'FC inventory'!$A$2:$A1000,"&lt;"&amp;Today())-SUMIFS('FC inventory'!AG$2:AG1000,'FC inventory'!$C$2:$C1000,"Spoilage",'FC inventory'!$B$2:$B1000,$A7,'FC inventory'!$A$2:$A1000,"&lt;"&amp;today()))+ (SUMIFS('FC inventory'!AG$2:AG1000,'FC inventory'!$C$2:$C1000,"In",'FC inventory'!$B$2:$B1000,$A7,'FC inventory'!$A$2:$A1000,Today()))-(SUMIFS('FC inventory'!AG$2:AG1000,'FC inventory'!$C$2:$C1000,"Out",'FC inventory'!$B$2:$B1000,$A7,'FC inventory'!$A$2:$A1000,Today()) - (SUMIFS('FC inventory'!AG$2:AG1000,'FC inventory'!$C$2:$C1000,"Retuned",'FC inventory'!$B$2:$B1000,$A7,'FC inventory'!$A$2:$A1000,Today()) - (SUMIFS('FC inventory'!AG$2:AG1000,'FC inventory'!$C$2:$C1000,"Spoilage",'FC inventory'!$B$2:$B1000,$A7,'FC inventory'!$A$2:$A1000,Today()))))</f>
        <v>0</v>
      </c>
      <c r="AF7" s="29">
        <f>(SUMIFS('FC inventory'!AH$2:AH1000,'FC inventory'!$C$2:$C1000,"In",'FC inventory'!$B$2:$B1000,$A7,'FC inventory'!$A$2:$A1000,"&lt;"&amp;Today())-SUMIFS('FC inventory'!AH$2:AH1000,'FC inventory'!$C$2:$C1000,"Out",'FC inventory'!$B$2:$B1000,$A7,'FC inventory'!$A$2:$A1000,"&lt;"&amp;Today())+SUMIFS('FC inventory'!AH$2:AH1000,'FC inventory'!$C$2:$C1000,"Return",'FC inventory'!$B$2:$B1000,$A7,'FC inventory'!$A$2:$A1000,"&lt;"&amp;Today())-SUMIFS('FC inventory'!AH$2:AH1000,'FC inventory'!$C$2:$C1000,"Spoilage",'FC inventory'!$B$2:$B1000,$A7,'FC inventory'!$A$2:$A1000,"&lt;"&amp;today()))+ (SUMIFS('FC inventory'!AH$2:AH1000,'FC inventory'!$C$2:$C1000,"In",'FC inventory'!$B$2:$B1000,$A7,'FC inventory'!$A$2:$A1000,Today()))-(SUMIFS('FC inventory'!AH$2:AH1000,'FC inventory'!$C$2:$C1000,"Out",'FC inventory'!$B$2:$B1000,$A7,'FC inventory'!$A$2:$A1000,Today()) - (SUMIFS('FC inventory'!AH$2:AH1000,'FC inventory'!$C$2:$C1000,"Retuned",'FC inventory'!$B$2:$B1000,$A7,'FC inventory'!$A$2:$A1000,Today()) - (SUMIFS('FC inventory'!AH$2:AH1000,'FC inventory'!$C$2:$C1000,"Spoilage",'FC inventory'!$B$2:$B1000,$A7,'FC inventory'!$A$2:$A1000,Today()))))</f>
        <v>0</v>
      </c>
    </row>
    <row r="8">
      <c r="A8" s="30" t="s">
        <v>48</v>
      </c>
      <c r="B8" s="31">
        <f t="shared" ref="B8:AF8" si="1">SUM(B2:B7)</f>
        <v>4</v>
      </c>
      <c r="C8" s="31">
        <f t="shared" si="1"/>
        <v>3</v>
      </c>
      <c r="D8" s="31">
        <f t="shared" si="1"/>
        <v>2</v>
      </c>
      <c r="E8" s="31">
        <f t="shared" si="1"/>
        <v>2</v>
      </c>
      <c r="F8" s="31">
        <f t="shared" si="1"/>
        <v>0</v>
      </c>
      <c r="G8" s="31">
        <f t="shared" si="1"/>
        <v>184</v>
      </c>
      <c r="H8" s="31">
        <f t="shared" si="1"/>
        <v>0</v>
      </c>
      <c r="I8" s="31">
        <f t="shared" si="1"/>
        <v>0</v>
      </c>
      <c r="J8" s="31">
        <f t="shared" si="1"/>
        <v>0</v>
      </c>
      <c r="K8" s="31">
        <f t="shared" si="1"/>
        <v>0</v>
      </c>
      <c r="L8" s="31">
        <f t="shared" si="1"/>
        <v>1</v>
      </c>
      <c r="M8" s="31">
        <f t="shared" si="1"/>
        <v>2</v>
      </c>
      <c r="N8" s="31">
        <f t="shared" si="1"/>
        <v>0</v>
      </c>
      <c r="O8" s="31">
        <f t="shared" si="1"/>
        <v>41</v>
      </c>
      <c r="P8" s="31">
        <f t="shared" si="1"/>
        <v>40</v>
      </c>
      <c r="Q8" s="31">
        <f t="shared" si="1"/>
        <v>1</v>
      </c>
      <c r="R8" s="31">
        <f t="shared" si="1"/>
        <v>0</v>
      </c>
      <c r="S8" s="31">
        <f t="shared" si="1"/>
        <v>0</v>
      </c>
      <c r="T8" s="31">
        <f t="shared" si="1"/>
        <v>0</v>
      </c>
      <c r="U8" s="31">
        <f t="shared" si="1"/>
        <v>86</v>
      </c>
      <c r="V8" s="31">
        <f t="shared" si="1"/>
        <v>7</v>
      </c>
      <c r="W8" s="31">
        <f t="shared" si="1"/>
        <v>0</v>
      </c>
      <c r="X8" s="31">
        <f t="shared" si="1"/>
        <v>0</v>
      </c>
      <c r="Y8" s="31">
        <f t="shared" si="1"/>
        <v>6</v>
      </c>
      <c r="Z8" s="31">
        <f t="shared" si="1"/>
        <v>9</v>
      </c>
      <c r="AA8" s="31">
        <f t="shared" si="1"/>
        <v>1</v>
      </c>
      <c r="AB8" s="31">
        <f t="shared" si="1"/>
        <v>0</v>
      </c>
      <c r="AC8" s="31">
        <f t="shared" si="1"/>
        <v>0</v>
      </c>
      <c r="AD8" s="31">
        <f t="shared" si="1"/>
        <v>0</v>
      </c>
      <c r="AE8" s="31">
        <f t="shared" si="1"/>
        <v>0</v>
      </c>
      <c r="AF8" s="31">
        <f t="shared" si="1"/>
        <v>0</v>
      </c>
    </row>
    <row r="9">
      <c r="A9" s="32" t="s">
        <v>49</v>
      </c>
      <c r="B9" s="33" t="str">
        <f>'Daily sales'!$C2</f>
        <v/>
      </c>
      <c r="C9" s="33" t="str">
        <f>'Daily sales'!$C3</f>
        <v/>
      </c>
      <c r="D9" s="33" t="str">
        <f>'Daily sales'!$C4</f>
        <v/>
      </c>
      <c r="E9" s="33" t="str">
        <f>'Daily sales'!$C5</f>
        <v/>
      </c>
      <c r="F9" s="33" t="str">
        <f>'Daily sales'!$C6</f>
        <v/>
      </c>
      <c r="G9" s="33" t="str">
        <f>'Daily sales'!$C7</f>
        <v/>
      </c>
      <c r="H9" s="33" t="str">
        <f>'Daily sales'!$C8</f>
        <v/>
      </c>
      <c r="I9" s="33" t="str">
        <f>'Daily sales'!$C9</f>
        <v/>
      </c>
      <c r="J9" s="33" t="str">
        <f>'Daily sales'!$C10</f>
        <v/>
      </c>
      <c r="K9" s="33" t="str">
        <f>'Daily sales'!$C11</f>
        <v/>
      </c>
      <c r="L9" s="33" t="str">
        <f>'Daily sales'!$C12</f>
        <v/>
      </c>
      <c r="M9" s="33" t="str">
        <f>'Daily sales'!$C13</f>
        <v/>
      </c>
      <c r="N9" s="33" t="str">
        <f>'Daily sales'!$C14</f>
        <v/>
      </c>
      <c r="O9" s="33" t="str">
        <f>'Daily sales'!$C15</f>
        <v/>
      </c>
      <c r="P9" s="33" t="str">
        <f>'Daily sales'!$C16</f>
        <v/>
      </c>
      <c r="Q9" s="33" t="str">
        <f>'Daily sales'!$C17</f>
        <v/>
      </c>
      <c r="R9" s="33" t="str">
        <f>'Daily sales'!$C18</f>
        <v/>
      </c>
      <c r="S9" s="33" t="str">
        <f>'Daily sales'!$C19</f>
        <v/>
      </c>
      <c r="T9" s="33" t="str">
        <f>'Daily sales'!$C20</f>
        <v/>
      </c>
      <c r="U9" s="33" t="str">
        <f>'Daily sales'!$C21</f>
        <v/>
      </c>
      <c r="V9" s="33" t="str">
        <f>'Daily sales'!$C22</f>
        <v/>
      </c>
      <c r="W9" s="33" t="str">
        <f>'Daily sales'!$C23</f>
        <v/>
      </c>
      <c r="X9" s="33" t="str">
        <f>'Daily sales'!$C24</f>
        <v/>
      </c>
      <c r="Y9" s="33" t="str">
        <f>'Daily sales'!$C25</f>
        <v/>
      </c>
      <c r="Z9" s="33" t="str">
        <f>'Daily sales'!$C26</f>
        <v/>
      </c>
      <c r="AA9" s="33" t="str">
        <f>'Daily sales'!$C27</f>
        <v/>
      </c>
      <c r="AB9" s="33" t="str">
        <f>'Daily sales'!$C28</f>
        <v/>
      </c>
      <c r="AC9" s="33" t="str">
        <f>'Daily sales'!$C29</f>
        <v/>
      </c>
      <c r="AD9" s="33" t="str">
        <f>'Daily sales'!$C30</f>
        <v/>
      </c>
      <c r="AE9" s="33" t="str">
        <f>'Daily sales'!$C31</f>
        <v/>
      </c>
      <c r="AF9" s="33" t="str">
        <f>'Daily sales'!$C32</f>
        <v/>
      </c>
    </row>
    <row r="10">
      <c r="A10" s="34" t="s">
        <v>50</v>
      </c>
      <c r="B10" s="35">
        <f t="shared" ref="B10:AF10" si="2">B9*B8</f>
        <v>0</v>
      </c>
      <c r="C10" s="35">
        <f t="shared" si="2"/>
        <v>0</v>
      </c>
      <c r="D10" s="35">
        <f t="shared" si="2"/>
        <v>0</v>
      </c>
      <c r="E10" s="35">
        <f t="shared" si="2"/>
        <v>0</v>
      </c>
      <c r="F10" s="35">
        <f t="shared" si="2"/>
        <v>0</v>
      </c>
      <c r="G10" s="35">
        <f t="shared" si="2"/>
        <v>0</v>
      </c>
      <c r="H10" s="35">
        <f t="shared" si="2"/>
        <v>0</v>
      </c>
      <c r="I10" s="35">
        <f t="shared" si="2"/>
        <v>0</v>
      </c>
      <c r="J10" s="35">
        <f t="shared" si="2"/>
        <v>0</v>
      </c>
      <c r="K10" s="35">
        <f t="shared" si="2"/>
        <v>0</v>
      </c>
      <c r="L10" s="35">
        <f t="shared" si="2"/>
        <v>0</v>
      </c>
      <c r="M10" s="35">
        <f t="shared" si="2"/>
        <v>0</v>
      </c>
      <c r="N10" s="35">
        <f t="shared" si="2"/>
        <v>0</v>
      </c>
      <c r="O10" s="35">
        <f t="shared" si="2"/>
        <v>0</v>
      </c>
      <c r="P10" s="35">
        <f t="shared" si="2"/>
        <v>0</v>
      </c>
      <c r="Q10" s="35">
        <f t="shared" si="2"/>
        <v>0</v>
      </c>
      <c r="R10" s="35">
        <f t="shared" si="2"/>
        <v>0</v>
      </c>
      <c r="S10" s="35">
        <f t="shared" si="2"/>
        <v>0</v>
      </c>
      <c r="T10" s="35">
        <f t="shared" si="2"/>
        <v>0</v>
      </c>
      <c r="U10" s="35">
        <f t="shared" si="2"/>
        <v>0</v>
      </c>
      <c r="V10" s="35">
        <f t="shared" si="2"/>
        <v>0</v>
      </c>
      <c r="W10" s="35">
        <f t="shared" si="2"/>
        <v>0</v>
      </c>
      <c r="X10" s="35">
        <f t="shared" si="2"/>
        <v>0</v>
      </c>
      <c r="Y10" s="35">
        <f t="shared" si="2"/>
        <v>0</v>
      </c>
      <c r="Z10" s="35">
        <f t="shared" si="2"/>
        <v>0</v>
      </c>
      <c r="AA10" s="35">
        <f t="shared" si="2"/>
        <v>0</v>
      </c>
      <c r="AB10" s="35">
        <f t="shared" si="2"/>
        <v>0</v>
      </c>
      <c r="AC10" s="35">
        <f t="shared" si="2"/>
        <v>0</v>
      </c>
      <c r="AD10" s="35">
        <f t="shared" si="2"/>
        <v>0</v>
      </c>
      <c r="AE10" s="35">
        <f t="shared" si="2"/>
        <v>0</v>
      </c>
      <c r="AF10" s="35">
        <f t="shared" si="2"/>
        <v>0</v>
      </c>
    </row>
    <row r="11">
      <c r="A11" s="36" t="s">
        <v>51</v>
      </c>
      <c r="B11" s="37">
        <f>SUM(B10:AF10)</f>
        <v>0</v>
      </c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</sheetData>
  <mergeCells count="1">
    <mergeCell ref="B11:D11"/>
  </mergeCells>
  <conditionalFormatting sqref="B2:AF7">
    <cfRule type="cellIs" dxfId="1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>
        <f>IFERROR(__xludf.DUMMYFUNCTION("IMPORTRANGE(""https://docs.google.com/spreadsheets/d/1Lf9s7nk0Dnc6-C4BZ2nQSf_Pa6iyo3cNO7WJlMPJFhY/edit#gid=114137067"",""Total Sales!A1:AA150"")"),45889.0)</f>
        <v>45889</v>
      </c>
      <c r="B1" s="39" t="str">
        <f>IFERROR(__xludf.DUMMYFUNCTION("""COMPUTED_VALUE"""),"Token Agemawo")</f>
        <v>Token Agemawo</v>
      </c>
      <c r="C1" s="39" t="str">
        <f>IFERROR(__xludf.DUMMYFUNCTION("""COMPUTED_VALUE"""),"Token Boneless")</f>
        <v>Token Boneless</v>
      </c>
      <c r="D1" s="39" t="str">
        <f>IFERROR(__xludf.DUMMYFUNCTION("""COMPUTED_VALUE"""),"Token Cow H&amp;N")</f>
        <v>Token Cow H&amp;N</v>
      </c>
      <c r="E1" s="39" t="str">
        <f>IFERROR(__xludf.DUMMYFUNCTION("""COMPUTED_VALUE"""),"Token Cow Hump")</f>
        <v>Token Cow Hump</v>
      </c>
      <c r="F1" s="39" t="str">
        <f>IFERROR(__xludf.DUMMYFUNCTION("""COMPUTED_VALUE"""),"Token Cow Tail")</f>
        <v>Token Cow Tail</v>
      </c>
      <c r="G1" s="39" t="str">
        <f>IFERROR(__xludf.DUMMYFUNCTION("""COMPUTED_VALUE"""),"Token Ponmo")</f>
        <v>Token Ponmo</v>
      </c>
      <c r="H1" s="39" t="str">
        <f>IFERROR(__xludf.DUMMYFUNCTION("""COMPUTED_VALUE"""),"Token Cow Asso.")</f>
        <v>Token Cow Asso.</v>
      </c>
      <c r="I1" s="39" t="str">
        <f>IFERROR(__xludf.DUMMYFUNCTION("""COMPUTED_VALUE"""),"Token Minced Meat")</f>
        <v>Token Minced Meat</v>
      </c>
      <c r="J1" s="39" t="str">
        <f>IFERROR(__xludf.DUMMYFUNCTION("""COMPUTED_VALUE"""),"Token Cow leg")</f>
        <v>Token Cow leg</v>
      </c>
      <c r="K1" s="39" t="str">
        <f>IFERROR(__xludf.DUMMYFUNCTION("""COMPUTED_VALUE"""),"Token Goat Head and Leg")</f>
        <v>Token Goat Head and Leg</v>
      </c>
      <c r="L1" s="39" t="str">
        <f>IFERROR(__xludf.DUMMYFUNCTION("""COMPUTED_VALUE"""),"Token Goat Assort.")</f>
        <v>Token Goat Assort.</v>
      </c>
      <c r="M1" s="39" t="str">
        <f>IFERROR(__xludf.DUMMYFUNCTION("""COMPUTED_VALUE"""),"Token Chicken")</f>
        <v>Token Chicken</v>
      </c>
      <c r="N1" s="39" t="str">
        <f>IFERROR(__xludf.DUMMYFUNCTION("""COMPUTED_VALUE"""),"Token Gizzard")</f>
        <v>Token Gizzard</v>
      </c>
      <c r="O1" s="39" t="str">
        <f>IFERROR(__xludf.DUMMYFUNCTION("""COMPUTED_VALUE"""),"Token Hake")</f>
        <v>Token Hake</v>
      </c>
      <c r="P1" s="39" t="str">
        <f>IFERROR(__xludf.DUMMYFUNCTION("""COMPUTED_VALUE"""),"Token Titus")</f>
        <v>Token Titus</v>
      </c>
      <c r="Q1" s="39" t="str">
        <f>IFERROR(__xludf.DUMMYFUNCTION("""COMPUTED_VALUE"""),"Value Cow Assorted")</f>
        <v>Value Cow Assorted</v>
      </c>
      <c r="R1" s="39" t="str">
        <f>IFERROR(__xludf.DUMMYFUNCTION("""COMPUTED_VALUE"""),"KG Agemawo")</f>
        <v>KG Agemawo</v>
      </c>
      <c r="S1" s="39" t="str">
        <f>IFERROR(__xludf.DUMMYFUNCTION("""COMPUTED_VALUE"""),"KG Boneless")</f>
        <v>KG Boneless</v>
      </c>
      <c r="T1" s="39" t="str">
        <f>IFERROR(__xludf.DUMMYFUNCTION("""COMPUTED_VALUE"""),"KG Cow H&amp;N")</f>
        <v>KG Cow H&amp;N</v>
      </c>
      <c r="U1" s="39" t="str">
        <f>IFERROR(__xludf.DUMMYFUNCTION("""COMPUTED_VALUE"""),"KG Cow Hump")</f>
        <v>KG Cow Hump</v>
      </c>
      <c r="V1" s="39" t="str">
        <f>IFERROR(__xludf.DUMMYFUNCTION("""COMPUTED_VALUE"""),"KG Cow Tongue")</f>
        <v>KG Cow Tongue</v>
      </c>
      <c r="W1" s="39" t="str">
        <f>IFERROR(__xludf.DUMMYFUNCTION("""COMPUTED_VALUE"""),"KG Goat Meat")</f>
        <v>KG Goat Meat</v>
      </c>
      <c r="X1" s="39" t="str">
        <f>IFERROR(__xludf.DUMMYFUNCTION("""COMPUTED_VALUE"""),"KG Chicken")</f>
        <v>KG Chicken</v>
      </c>
      <c r="Y1" s="39" t="str">
        <f>IFERROR(__xludf.DUMMYFUNCTION("""COMPUTED_VALUE"""),"KG Hake")</f>
        <v>KG Hake</v>
      </c>
      <c r="Z1" s="39" t="str">
        <f>IFERROR(__xludf.DUMMYFUNCTION("""COMPUTED_VALUE"""),"Kg Titus")</f>
        <v>Kg Titus</v>
      </c>
      <c r="AA1" s="9"/>
    </row>
    <row r="2">
      <c r="A2" s="39" t="str">
        <f>IFERROR(__xludf.DUMMYFUNCTION("""COMPUTED_VALUE"""),"ALAKIA")</f>
        <v>ALAKIA</v>
      </c>
      <c r="B2" s="39">
        <f>IFERROR(__xludf.DUMMYFUNCTION("""COMPUTED_VALUE"""),0.0)</f>
        <v>0</v>
      </c>
      <c r="C2" s="39">
        <f>IFERROR(__xludf.DUMMYFUNCTION("""COMPUTED_VALUE"""),0.0)</f>
        <v>0</v>
      </c>
      <c r="D2" s="39">
        <f>IFERROR(__xludf.DUMMYFUNCTION("""COMPUTED_VALUE"""),0.0)</f>
        <v>0</v>
      </c>
      <c r="E2" s="39">
        <f>IFERROR(__xludf.DUMMYFUNCTION("""COMPUTED_VALUE"""),0.0)</f>
        <v>0</v>
      </c>
      <c r="F2" s="39">
        <f>IFERROR(__xludf.DUMMYFUNCTION("""COMPUTED_VALUE"""),0.0)</f>
        <v>0</v>
      </c>
      <c r="G2" s="39">
        <f>IFERROR(__xludf.DUMMYFUNCTION("""COMPUTED_VALUE"""),0.0)</f>
        <v>0</v>
      </c>
      <c r="H2" s="39">
        <f>IFERROR(__xludf.DUMMYFUNCTION("""COMPUTED_VALUE"""),0.0)</f>
        <v>0</v>
      </c>
      <c r="I2" s="39">
        <f>IFERROR(__xludf.DUMMYFUNCTION("""COMPUTED_VALUE"""),0.0)</f>
        <v>0</v>
      </c>
      <c r="J2" s="39">
        <f>IFERROR(__xludf.DUMMYFUNCTION("""COMPUTED_VALUE"""),0.0)</f>
        <v>0</v>
      </c>
      <c r="K2" s="39">
        <f>IFERROR(__xludf.DUMMYFUNCTION("""COMPUTED_VALUE"""),0.0)</f>
        <v>0</v>
      </c>
      <c r="L2" s="39">
        <f>IFERROR(__xludf.DUMMYFUNCTION("""COMPUTED_VALUE"""),0.0)</f>
        <v>0</v>
      </c>
      <c r="M2" s="39">
        <f>IFERROR(__xludf.DUMMYFUNCTION("""COMPUTED_VALUE"""),0.0)</f>
        <v>0</v>
      </c>
      <c r="N2" s="39">
        <f>IFERROR(__xludf.DUMMYFUNCTION("""COMPUTED_VALUE"""),0.0)</f>
        <v>0</v>
      </c>
      <c r="O2" s="39">
        <f>IFERROR(__xludf.DUMMYFUNCTION("""COMPUTED_VALUE"""),0.0)</f>
        <v>0</v>
      </c>
      <c r="P2" s="39">
        <f>IFERROR(__xludf.DUMMYFUNCTION("""COMPUTED_VALUE"""),0.0)</f>
        <v>0</v>
      </c>
      <c r="Q2" s="39">
        <f>IFERROR(__xludf.DUMMYFUNCTION("""COMPUTED_VALUE"""),0.0)</f>
        <v>0</v>
      </c>
      <c r="R2" s="39">
        <f>IFERROR(__xludf.DUMMYFUNCTION("""COMPUTED_VALUE"""),0.0)</f>
        <v>0</v>
      </c>
      <c r="S2" s="39">
        <f>IFERROR(__xludf.DUMMYFUNCTION("""COMPUTED_VALUE"""),0.0)</f>
        <v>0</v>
      </c>
      <c r="T2" s="39">
        <f>IFERROR(__xludf.DUMMYFUNCTION("""COMPUTED_VALUE"""),0.0)</f>
        <v>0</v>
      </c>
      <c r="U2" s="39">
        <f>IFERROR(__xludf.DUMMYFUNCTION("""COMPUTED_VALUE"""),0.0)</f>
        <v>0</v>
      </c>
      <c r="V2" s="39">
        <f>IFERROR(__xludf.DUMMYFUNCTION("""COMPUTED_VALUE"""),0.0)</f>
        <v>0</v>
      </c>
      <c r="W2" s="39">
        <f>IFERROR(__xludf.DUMMYFUNCTION("""COMPUTED_VALUE"""),0.0)</f>
        <v>0</v>
      </c>
      <c r="X2" s="39">
        <f>IFERROR(__xludf.DUMMYFUNCTION("""COMPUTED_VALUE"""),0.0)</f>
        <v>0</v>
      </c>
      <c r="Y2" s="39">
        <f>IFERROR(__xludf.DUMMYFUNCTION("""COMPUTED_VALUE"""),0.0)</f>
        <v>0</v>
      </c>
      <c r="Z2" s="39">
        <f>IFERROR(__xludf.DUMMYFUNCTION("""COMPUTED_VALUE"""),0.0)</f>
        <v>0</v>
      </c>
      <c r="AA2" s="9"/>
    </row>
    <row r="3">
      <c r="A3" s="39" t="str">
        <f>IFERROR(__xludf.DUMMYFUNCTION("""COMPUTED_VALUE"""),"BASHORUN")</f>
        <v>BASHORUN</v>
      </c>
      <c r="B3" s="39">
        <f>IFERROR(__xludf.DUMMYFUNCTION("""COMPUTED_VALUE"""),0.0)</f>
        <v>0</v>
      </c>
      <c r="C3" s="39">
        <f>IFERROR(__xludf.DUMMYFUNCTION("""COMPUTED_VALUE"""),0.0)</f>
        <v>0</v>
      </c>
      <c r="D3" s="39">
        <f>IFERROR(__xludf.DUMMYFUNCTION("""COMPUTED_VALUE"""),0.0)</f>
        <v>0</v>
      </c>
      <c r="E3" s="39">
        <f>IFERROR(__xludf.DUMMYFUNCTION("""COMPUTED_VALUE"""),0.0)</f>
        <v>0</v>
      </c>
      <c r="F3" s="39">
        <f>IFERROR(__xludf.DUMMYFUNCTION("""COMPUTED_VALUE"""),0.0)</f>
        <v>0</v>
      </c>
      <c r="G3" s="39">
        <f>IFERROR(__xludf.DUMMYFUNCTION("""COMPUTED_VALUE"""),0.0)</f>
        <v>0</v>
      </c>
      <c r="H3" s="39">
        <f>IFERROR(__xludf.DUMMYFUNCTION("""COMPUTED_VALUE"""),0.0)</f>
        <v>0</v>
      </c>
      <c r="I3" s="39">
        <f>IFERROR(__xludf.DUMMYFUNCTION("""COMPUTED_VALUE"""),0.0)</f>
        <v>0</v>
      </c>
      <c r="J3" s="39">
        <f>IFERROR(__xludf.DUMMYFUNCTION("""COMPUTED_VALUE"""),0.0)</f>
        <v>0</v>
      </c>
      <c r="K3" s="39">
        <f>IFERROR(__xludf.DUMMYFUNCTION("""COMPUTED_VALUE"""),0.0)</f>
        <v>0</v>
      </c>
      <c r="L3" s="39">
        <f>IFERROR(__xludf.DUMMYFUNCTION("""COMPUTED_VALUE"""),0.0)</f>
        <v>0</v>
      </c>
      <c r="M3" s="39">
        <f>IFERROR(__xludf.DUMMYFUNCTION("""COMPUTED_VALUE"""),0.0)</f>
        <v>0</v>
      </c>
      <c r="N3" s="39">
        <f>IFERROR(__xludf.DUMMYFUNCTION("""COMPUTED_VALUE"""),0.0)</f>
        <v>0</v>
      </c>
      <c r="O3" s="39">
        <f>IFERROR(__xludf.DUMMYFUNCTION("""COMPUTED_VALUE"""),0.0)</f>
        <v>0</v>
      </c>
      <c r="P3" s="39">
        <f>IFERROR(__xludf.DUMMYFUNCTION("""COMPUTED_VALUE"""),0.0)</f>
        <v>0</v>
      </c>
      <c r="Q3" s="39">
        <f>IFERROR(__xludf.DUMMYFUNCTION("""COMPUTED_VALUE"""),0.0)</f>
        <v>0</v>
      </c>
      <c r="R3" s="39">
        <f>IFERROR(__xludf.DUMMYFUNCTION("""COMPUTED_VALUE"""),0.0)</f>
        <v>0</v>
      </c>
      <c r="S3" s="39">
        <f>IFERROR(__xludf.DUMMYFUNCTION("""COMPUTED_VALUE"""),0.0)</f>
        <v>0</v>
      </c>
      <c r="T3" s="39">
        <f>IFERROR(__xludf.DUMMYFUNCTION("""COMPUTED_VALUE"""),0.0)</f>
        <v>0</v>
      </c>
      <c r="U3" s="39">
        <f>IFERROR(__xludf.DUMMYFUNCTION("""COMPUTED_VALUE"""),0.0)</f>
        <v>0</v>
      </c>
      <c r="V3" s="39">
        <f>IFERROR(__xludf.DUMMYFUNCTION("""COMPUTED_VALUE"""),0.0)</f>
        <v>0</v>
      </c>
      <c r="W3" s="39">
        <f>IFERROR(__xludf.DUMMYFUNCTION("""COMPUTED_VALUE"""),0.0)</f>
        <v>0</v>
      </c>
      <c r="X3" s="39">
        <f>IFERROR(__xludf.DUMMYFUNCTION("""COMPUTED_VALUE"""),0.0)</f>
        <v>0</v>
      </c>
      <c r="Y3" s="39">
        <f>IFERROR(__xludf.DUMMYFUNCTION("""COMPUTED_VALUE"""),0.0)</f>
        <v>0</v>
      </c>
      <c r="Z3" s="39">
        <f>IFERROR(__xludf.DUMMYFUNCTION("""COMPUTED_VALUE"""),0.0)</f>
        <v>0</v>
      </c>
      <c r="AA3" s="9"/>
    </row>
    <row r="4">
      <c r="A4" s="39" t="str">
        <f>IFERROR(__xludf.DUMMYFUNCTION("""COMPUTED_VALUE"""),"APATA")</f>
        <v>APATA</v>
      </c>
      <c r="B4" s="39">
        <f>IFERROR(__xludf.DUMMYFUNCTION("""COMPUTED_VALUE"""),0.0)</f>
        <v>0</v>
      </c>
      <c r="C4" s="39">
        <f>IFERROR(__xludf.DUMMYFUNCTION("""COMPUTED_VALUE"""),0.0)</f>
        <v>0</v>
      </c>
      <c r="D4" s="39">
        <f>IFERROR(__xludf.DUMMYFUNCTION("""COMPUTED_VALUE"""),0.0)</f>
        <v>0</v>
      </c>
      <c r="E4" s="39">
        <f>IFERROR(__xludf.DUMMYFUNCTION("""COMPUTED_VALUE"""),0.0)</f>
        <v>0</v>
      </c>
      <c r="F4" s="39">
        <f>IFERROR(__xludf.DUMMYFUNCTION("""COMPUTED_VALUE"""),0.0)</f>
        <v>0</v>
      </c>
      <c r="G4" s="39">
        <f>IFERROR(__xludf.DUMMYFUNCTION("""COMPUTED_VALUE"""),0.0)</f>
        <v>0</v>
      </c>
      <c r="H4" s="39">
        <f>IFERROR(__xludf.DUMMYFUNCTION("""COMPUTED_VALUE"""),0.0)</f>
        <v>0</v>
      </c>
      <c r="I4" s="39">
        <f>IFERROR(__xludf.DUMMYFUNCTION("""COMPUTED_VALUE"""),0.0)</f>
        <v>0</v>
      </c>
      <c r="J4" s="39">
        <f>IFERROR(__xludf.DUMMYFUNCTION("""COMPUTED_VALUE"""),0.0)</f>
        <v>0</v>
      </c>
      <c r="K4" s="39">
        <f>IFERROR(__xludf.DUMMYFUNCTION("""COMPUTED_VALUE"""),0.0)</f>
        <v>0</v>
      </c>
      <c r="L4" s="39">
        <f>IFERROR(__xludf.DUMMYFUNCTION("""COMPUTED_VALUE"""),0.0)</f>
        <v>0</v>
      </c>
      <c r="M4" s="39">
        <f>IFERROR(__xludf.DUMMYFUNCTION("""COMPUTED_VALUE"""),0.0)</f>
        <v>0</v>
      </c>
      <c r="N4" s="39">
        <f>IFERROR(__xludf.DUMMYFUNCTION("""COMPUTED_VALUE"""),0.0)</f>
        <v>0</v>
      </c>
      <c r="O4" s="39">
        <f>IFERROR(__xludf.DUMMYFUNCTION("""COMPUTED_VALUE"""),0.0)</f>
        <v>0</v>
      </c>
      <c r="P4" s="39">
        <f>IFERROR(__xludf.DUMMYFUNCTION("""COMPUTED_VALUE"""),0.0)</f>
        <v>0</v>
      </c>
      <c r="Q4" s="39">
        <f>IFERROR(__xludf.DUMMYFUNCTION("""COMPUTED_VALUE"""),0.0)</f>
        <v>0</v>
      </c>
      <c r="R4" s="39">
        <f>IFERROR(__xludf.DUMMYFUNCTION("""COMPUTED_VALUE"""),0.0)</f>
        <v>0</v>
      </c>
      <c r="S4" s="39">
        <f>IFERROR(__xludf.DUMMYFUNCTION("""COMPUTED_VALUE"""),0.0)</f>
        <v>0</v>
      </c>
      <c r="T4" s="39">
        <f>IFERROR(__xludf.DUMMYFUNCTION("""COMPUTED_VALUE"""),0.0)</f>
        <v>0</v>
      </c>
      <c r="U4" s="39">
        <f>IFERROR(__xludf.DUMMYFUNCTION("""COMPUTED_VALUE"""),0.0)</f>
        <v>0</v>
      </c>
      <c r="V4" s="39">
        <f>IFERROR(__xludf.DUMMYFUNCTION("""COMPUTED_VALUE"""),0.0)</f>
        <v>0</v>
      </c>
      <c r="W4" s="39">
        <f>IFERROR(__xludf.DUMMYFUNCTION("""COMPUTED_VALUE"""),0.0)</f>
        <v>0</v>
      </c>
      <c r="X4" s="39">
        <f>IFERROR(__xludf.DUMMYFUNCTION("""COMPUTED_VALUE"""),0.0)</f>
        <v>0</v>
      </c>
      <c r="Y4" s="39">
        <f>IFERROR(__xludf.DUMMYFUNCTION("""COMPUTED_VALUE"""),0.0)</f>
        <v>0</v>
      </c>
      <c r="Z4" s="39">
        <f>IFERROR(__xludf.DUMMYFUNCTION("""COMPUTED_VALUE"""),0.0)</f>
        <v>0</v>
      </c>
      <c r="AA4" s="9"/>
    </row>
    <row r="5">
      <c r="A5" s="39" t="str">
        <f>IFERROR(__xludf.DUMMYFUNCTION("""COMPUTED_VALUE"""),"BCT")</f>
        <v>BCT</v>
      </c>
      <c r="B5" s="39">
        <f>IFERROR(__xludf.DUMMYFUNCTION("""COMPUTED_VALUE"""),0.0)</f>
        <v>0</v>
      </c>
      <c r="C5" s="39">
        <f>IFERROR(__xludf.DUMMYFUNCTION("""COMPUTED_VALUE"""),0.0)</f>
        <v>0</v>
      </c>
      <c r="D5" s="39">
        <f>IFERROR(__xludf.DUMMYFUNCTION("""COMPUTED_VALUE"""),0.0)</f>
        <v>0</v>
      </c>
      <c r="E5" s="39">
        <f>IFERROR(__xludf.DUMMYFUNCTION("""COMPUTED_VALUE"""),0.0)</f>
        <v>0</v>
      </c>
      <c r="F5" s="39">
        <f>IFERROR(__xludf.DUMMYFUNCTION("""COMPUTED_VALUE"""),0.0)</f>
        <v>0</v>
      </c>
      <c r="G5" s="39">
        <f>IFERROR(__xludf.DUMMYFUNCTION("""COMPUTED_VALUE"""),0.0)</f>
        <v>0</v>
      </c>
      <c r="H5" s="39">
        <f>IFERROR(__xludf.DUMMYFUNCTION("""COMPUTED_VALUE"""),0.0)</f>
        <v>0</v>
      </c>
      <c r="I5" s="39">
        <f>IFERROR(__xludf.DUMMYFUNCTION("""COMPUTED_VALUE"""),0.0)</f>
        <v>0</v>
      </c>
      <c r="J5" s="39">
        <f>IFERROR(__xludf.DUMMYFUNCTION("""COMPUTED_VALUE"""),0.0)</f>
        <v>0</v>
      </c>
      <c r="K5" s="39">
        <f>IFERROR(__xludf.DUMMYFUNCTION("""COMPUTED_VALUE"""),0.0)</f>
        <v>0</v>
      </c>
      <c r="L5" s="39">
        <f>IFERROR(__xludf.DUMMYFUNCTION("""COMPUTED_VALUE"""),0.0)</f>
        <v>0</v>
      </c>
      <c r="M5" s="39">
        <f>IFERROR(__xludf.DUMMYFUNCTION("""COMPUTED_VALUE"""),0.0)</f>
        <v>0</v>
      </c>
      <c r="N5" s="39">
        <f>IFERROR(__xludf.DUMMYFUNCTION("""COMPUTED_VALUE"""),0.0)</f>
        <v>0</v>
      </c>
      <c r="O5" s="39">
        <f>IFERROR(__xludf.DUMMYFUNCTION("""COMPUTED_VALUE"""),0.0)</f>
        <v>0</v>
      </c>
      <c r="P5" s="39">
        <f>IFERROR(__xludf.DUMMYFUNCTION("""COMPUTED_VALUE"""),0.0)</f>
        <v>0</v>
      </c>
      <c r="Q5" s="39">
        <f>IFERROR(__xludf.DUMMYFUNCTION("""COMPUTED_VALUE"""),0.0)</f>
        <v>0</v>
      </c>
      <c r="R5" s="39">
        <f>IFERROR(__xludf.DUMMYFUNCTION("""COMPUTED_VALUE"""),0.0)</f>
        <v>0</v>
      </c>
      <c r="S5" s="39">
        <f>IFERROR(__xludf.DUMMYFUNCTION("""COMPUTED_VALUE"""),0.0)</f>
        <v>0</v>
      </c>
      <c r="T5" s="39">
        <f>IFERROR(__xludf.DUMMYFUNCTION("""COMPUTED_VALUE"""),0.0)</f>
        <v>0</v>
      </c>
      <c r="U5" s="39">
        <f>IFERROR(__xludf.DUMMYFUNCTION("""COMPUTED_VALUE"""),0.0)</f>
        <v>0</v>
      </c>
      <c r="V5" s="39">
        <f>IFERROR(__xludf.DUMMYFUNCTION("""COMPUTED_VALUE"""),0.0)</f>
        <v>0</v>
      </c>
      <c r="W5" s="39">
        <f>IFERROR(__xludf.DUMMYFUNCTION("""COMPUTED_VALUE"""),0.0)</f>
        <v>0</v>
      </c>
      <c r="X5" s="39">
        <f>IFERROR(__xludf.DUMMYFUNCTION("""COMPUTED_VALUE"""),0.0)</f>
        <v>0</v>
      </c>
      <c r="Y5" s="39">
        <f>IFERROR(__xludf.DUMMYFUNCTION("""COMPUTED_VALUE"""),0.0)</f>
        <v>0</v>
      </c>
      <c r="Z5" s="39">
        <f>IFERROR(__xludf.DUMMYFUNCTION("""COMPUTED_VALUE"""),0.0)</f>
        <v>0</v>
      </c>
      <c r="AA5" s="9"/>
    </row>
    <row r="6">
      <c r="A6" s="39" t="str">
        <f>IFERROR(__xludf.DUMMYFUNCTION("""COMPUTED_VALUE"""),"ALESHINLOYE")</f>
        <v>ALESHINLOYE</v>
      </c>
      <c r="B6" s="39">
        <f>IFERROR(__xludf.DUMMYFUNCTION("""COMPUTED_VALUE"""),0.0)</f>
        <v>0</v>
      </c>
      <c r="C6" s="39">
        <f>IFERROR(__xludf.DUMMYFUNCTION("""COMPUTED_VALUE"""),0.0)</f>
        <v>0</v>
      </c>
      <c r="D6" s="39">
        <f>IFERROR(__xludf.DUMMYFUNCTION("""COMPUTED_VALUE"""),0.0)</f>
        <v>0</v>
      </c>
      <c r="E6" s="39">
        <f>IFERROR(__xludf.DUMMYFUNCTION("""COMPUTED_VALUE"""),0.0)</f>
        <v>0</v>
      </c>
      <c r="F6" s="39">
        <f>IFERROR(__xludf.DUMMYFUNCTION("""COMPUTED_VALUE"""),0.0)</f>
        <v>0</v>
      </c>
      <c r="G6" s="39">
        <f>IFERROR(__xludf.DUMMYFUNCTION("""COMPUTED_VALUE"""),0.0)</f>
        <v>0</v>
      </c>
      <c r="H6" s="39">
        <f>IFERROR(__xludf.DUMMYFUNCTION("""COMPUTED_VALUE"""),0.0)</f>
        <v>0</v>
      </c>
      <c r="I6" s="39">
        <f>IFERROR(__xludf.DUMMYFUNCTION("""COMPUTED_VALUE"""),0.0)</f>
        <v>0</v>
      </c>
      <c r="J6" s="39">
        <f>IFERROR(__xludf.DUMMYFUNCTION("""COMPUTED_VALUE"""),0.0)</f>
        <v>0</v>
      </c>
      <c r="K6" s="39">
        <f>IFERROR(__xludf.DUMMYFUNCTION("""COMPUTED_VALUE"""),0.0)</f>
        <v>0</v>
      </c>
      <c r="L6" s="39">
        <f>IFERROR(__xludf.DUMMYFUNCTION("""COMPUTED_VALUE"""),0.0)</f>
        <v>0</v>
      </c>
      <c r="M6" s="39">
        <f>IFERROR(__xludf.DUMMYFUNCTION("""COMPUTED_VALUE"""),0.0)</f>
        <v>0</v>
      </c>
      <c r="N6" s="39">
        <f>IFERROR(__xludf.DUMMYFUNCTION("""COMPUTED_VALUE"""),0.0)</f>
        <v>0</v>
      </c>
      <c r="O6" s="39">
        <f>IFERROR(__xludf.DUMMYFUNCTION("""COMPUTED_VALUE"""),0.0)</f>
        <v>0</v>
      </c>
      <c r="P6" s="39">
        <f>IFERROR(__xludf.DUMMYFUNCTION("""COMPUTED_VALUE"""),0.0)</f>
        <v>0</v>
      </c>
      <c r="Q6" s="39">
        <f>IFERROR(__xludf.DUMMYFUNCTION("""COMPUTED_VALUE"""),0.0)</f>
        <v>0</v>
      </c>
      <c r="R6" s="39">
        <f>IFERROR(__xludf.DUMMYFUNCTION("""COMPUTED_VALUE"""),0.0)</f>
        <v>0</v>
      </c>
      <c r="S6" s="39">
        <f>IFERROR(__xludf.DUMMYFUNCTION("""COMPUTED_VALUE"""),0.0)</f>
        <v>0</v>
      </c>
      <c r="T6" s="39">
        <f>IFERROR(__xludf.DUMMYFUNCTION("""COMPUTED_VALUE"""),0.0)</f>
        <v>0</v>
      </c>
      <c r="U6" s="39">
        <f>IFERROR(__xludf.DUMMYFUNCTION("""COMPUTED_VALUE"""),0.0)</f>
        <v>0</v>
      </c>
      <c r="V6" s="39">
        <f>IFERROR(__xludf.DUMMYFUNCTION("""COMPUTED_VALUE"""),0.0)</f>
        <v>0</v>
      </c>
      <c r="W6" s="39">
        <f>IFERROR(__xludf.DUMMYFUNCTION("""COMPUTED_VALUE"""),0.0)</f>
        <v>0</v>
      </c>
      <c r="X6" s="39">
        <f>IFERROR(__xludf.DUMMYFUNCTION("""COMPUTED_VALUE"""),0.0)</f>
        <v>0</v>
      </c>
      <c r="Y6" s="39">
        <f>IFERROR(__xludf.DUMMYFUNCTION("""COMPUTED_VALUE"""),0.0)</f>
        <v>0</v>
      </c>
      <c r="Z6" s="39">
        <f>IFERROR(__xludf.DUMMYFUNCTION("""COMPUTED_VALUE"""),0.0)</f>
        <v>0</v>
      </c>
      <c r="AA6" s="9"/>
    </row>
    <row r="7">
      <c r="A7" s="39" t="str">
        <f>IFERROR(__xludf.DUMMYFUNCTION("""COMPUTED_VALUE"""),"FELELE")</f>
        <v>FELELE</v>
      </c>
      <c r="B7" s="39">
        <f>IFERROR(__xludf.DUMMYFUNCTION("""COMPUTED_VALUE"""),0.0)</f>
        <v>0</v>
      </c>
      <c r="C7" s="39">
        <f>IFERROR(__xludf.DUMMYFUNCTION("""COMPUTED_VALUE"""),0.0)</f>
        <v>0</v>
      </c>
      <c r="D7" s="39">
        <f>IFERROR(__xludf.DUMMYFUNCTION("""COMPUTED_VALUE"""),0.0)</f>
        <v>0</v>
      </c>
      <c r="E7" s="39">
        <f>IFERROR(__xludf.DUMMYFUNCTION("""COMPUTED_VALUE"""),0.0)</f>
        <v>0</v>
      </c>
      <c r="F7" s="39">
        <f>IFERROR(__xludf.DUMMYFUNCTION("""COMPUTED_VALUE"""),0.0)</f>
        <v>0</v>
      </c>
      <c r="G7" s="39">
        <f>IFERROR(__xludf.DUMMYFUNCTION("""COMPUTED_VALUE"""),0.0)</f>
        <v>0</v>
      </c>
      <c r="H7" s="39">
        <f>IFERROR(__xludf.DUMMYFUNCTION("""COMPUTED_VALUE"""),0.0)</f>
        <v>0</v>
      </c>
      <c r="I7" s="39">
        <f>IFERROR(__xludf.DUMMYFUNCTION("""COMPUTED_VALUE"""),0.0)</f>
        <v>0</v>
      </c>
      <c r="J7" s="39">
        <f>IFERROR(__xludf.DUMMYFUNCTION("""COMPUTED_VALUE"""),0.0)</f>
        <v>0</v>
      </c>
      <c r="K7" s="39">
        <f>IFERROR(__xludf.DUMMYFUNCTION("""COMPUTED_VALUE"""),0.0)</f>
        <v>0</v>
      </c>
      <c r="L7" s="39">
        <f>IFERROR(__xludf.DUMMYFUNCTION("""COMPUTED_VALUE"""),0.0)</f>
        <v>0</v>
      </c>
      <c r="M7" s="39">
        <f>IFERROR(__xludf.DUMMYFUNCTION("""COMPUTED_VALUE"""),0.0)</f>
        <v>0</v>
      </c>
      <c r="N7" s="39">
        <f>IFERROR(__xludf.DUMMYFUNCTION("""COMPUTED_VALUE"""),0.0)</f>
        <v>0</v>
      </c>
      <c r="O7" s="39">
        <f>IFERROR(__xludf.DUMMYFUNCTION("""COMPUTED_VALUE"""),0.0)</f>
        <v>0</v>
      </c>
      <c r="P7" s="39">
        <f>IFERROR(__xludf.DUMMYFUNCTION("""COMPUTED_VALUE"""),0.0)</f>
        <v>0</v>
      </c>
      <c r="Q7" s="39">
        <f>IFERROR(__xludf.DUMMYFUNCTION("""COMPUTED_VALUE"""),0.0)</f>
        <v>0</v>
      </c>
      <c r="R7" s="39">
        <f>IFERROR(__xludf.DUMMYFUNCTION("""COMPUTED_VALUE"""),0.0)</f>
        <v>0</v>
      </c>
      <c r="S7" s="39">
        <f>IFERROR(__xludf.DUMMYFUNCTION("""COMPUTED_VALUE"""),0.0)</f>
        <v>0</v>
      </c>
      <c r="T7" s="39">
        <f>IFERROR(__xludf.DUMMYFUNCTION("""COMPUTED_VALUE"""),0.0)</f>
        <v>0</v>
      </c>
      <c r="U7" s="39">
        <f>IFERROR(__xludf.DUMMYFUNCTION("""COMPUTED_VALUE"""),0.0)</f>
        <v>0</v>
      </c>
      <c r="V7" s="39">
        <f>IFERROR(__xludf.DUMMYFUNCTION("""COMPUTED_VALUE"""),0.0)</f>
        <v>0</v>
      </c>
      <c r="W7" s="39">
        <f>IFERROR(__xludf.DUMMYFUNCTION("""COMPUTED_VALUE"""),0.0)</f>
        <v>0</v>
      </c>
      <c r="X7" s="39">
        <f>IFERROR(__xludf.DUMMYFUNCTION("""COMPUTED_VALUE"""),0.0)</f>
        <v>0</v>
      </c>
      <c r="Y7" s="39">
        <f>IFERROR(__xludf.DUMMYFUNCTION("""COMPUTED_VALUE"""),0.0)</f>
        <v>0</v>
      </c>
      <c r="Z7" s="39">
        <f>IFERROR(__xludf.DUMMYFUNCTION("""COMPUTED_VALUE"""),0.0)</f>
        <v>0</v>
      </c>
      <c r="AA7" s="9"/>
    </row>
    <row r="8">
      <c r="A8" s="40" t="str">
        <f>IFERROR(__xludf.DUMMYFUNCTION("""COMPUTED_VALUE"""),"TOTAL SALES")</f>
        <v>TOTAL SALES</v>
      </c>
      <c r="B8" s="40">
        <f>IFERROR(__xludf.DUMMYFUNCTION("""COMPUTED_VALUE"""),0.0)</f>
        <v>0</v>
      </c>
      <c r="C8" s="40">
        <f>IFERROR(__xludf.DUMMYFUNCTION("""COMPUTED_VALUE"""),0.0)</f>
        <v>0</v>
      </c>
      <c r="D8" s="40">
        <f>IFERROR(__xludf.DUMMYFUNCTION("""COMPUTED_VALUE"""),0.0)</f>
        <v>0</v>
      </c>
      <c r="E8" s="40">
        <f>IFERROR(__xludf.DUMMYFUNCTION("""COMPUTED_VALUE"""),0.0)</f>
        <v>0</v>
      </c>
      <c r="F8" s="40">
        <f>IFERROR(__xludf.DUMMYFUNCTION("""COMPUTED_VALUE"""),0.0)</f>
        <v>0</v>
      </c>
      <c r="G8" s="40">
        <f>IFERROR(__xludf.DUMMYFUNCTION("""COMPUTED_VALUE"""),0.0)</f>
        <v>0</v>
      </c>
      <c r="H8" s="40">
        <f>IFERROR(__xludf.DUMMYFUNCTION("""COMPUTED_VALUE"""),0.0)</f>
        <v>0</v>
      </c>
      <c r="I8" s="40">
        <f>IFERROR(__xludf.DUMMYFUNCTION("""COMPUTED_VALUE"""),0.0)</f>
        <v>0</v>
      </c>
      <c r="J8" s="40">
        <f>IFERROR(__xludf.DUMMYFUNCTION("""COMPUTED_VALUE"""),0.0)</f>
        <v>0</v>
      </c>
      <c r="K8" s="40">
        <f>IFERROR(__xludf.DUMMYFUNCTION("""COMPUTED_VALUE"""),0.0)</f>
        <v>0</v>
      </c>
      <c r="L8" s="40">
        <f>IFERROR(__xludf.DUMMYFUNCTION("""COMPUTED_VALUE"""),0.0)</f>
        <v>0</v>
      </c>
      <c r="M8" s="40">
        <f>IFERROR(__xludf.DUMMYFUNCTION("""COMPUTED_VALUE"""),0.0)</f>
        <v>0</v>
      </c>
      <c r="N8" s="40">
        <f>IFERROR(__xludf.DUMMYFUNCTION("""COMPUTED_VALUE"""),0.0)</f>
        <v>0</v>
      </c>
      <c r="O8" s="40">
        <f>IFERROR(__xludf.DUMMYFUNCTION("""COMPUTED_VALUE"""),0.0)</f>
        <v>0</v>
      </c>
      <c r="P8" s="40">
        <f>IFERROR(__xludf.DUMMYFUNCTION("""COMPUTED_VALUE"""),0.0)</f>
        <v>0</v>
      </c>
      <c r="Q8" s="40">
        <f>IFERROR(__xludf.DUMMYFUNCTION("""COMPUTED_VALUE"""),0.0)</f>
        <v>0</v>
      </c>
      <c r="R8" s="40">
        <f>IFERROR(__xludf.DUMMYFUNCTION("""COMPUTED_VALUE"""),0.0)</f>
        <v>0</v>
      </c>
      <c r="S8" s="40">
        <f>IFERROR(__xludf.DUMMYFUNCTION("""COMPUTED_VALUE"""),0.0)</f>
        <v>0</v>
      </c>
      <c r="T8" s="40">
        <f>IFERROR(__xludf.DUMMYFUNCTION("""COMPUTED_VALUE"""),0.0)</f>
        <v>0</v>
      </c>
      <c r="U8" s="40">
        <f>IFERROR(__xludf.DUMMYFUNCTION("""COMPUTED_VALUE"""),0.0)</f>
        <v>0</v>
      </c>
      <c r="V8" s="40">
        <f>IFERROR(__xludf.DUMMYFUNCTION("""COMPUTED_VALUE"""),0.0)</f>
        <v>0</v>
      </c>
      <c r="W8" s="40">
        <f>IFERROR(__xludf.DUMMYFUNCTION("""COMPUTED_VALUE"""),0.0)</f>
        <v>0</v>
      </c>
      <c r="X8" s="40">
        <f>IFERROR(__xludf.DUMMYFUNCTION("""COMPUTED_VALUE"""),0.0)</f>
        <v>0</v>
      </c>
      <c r="Y8" s="40">
        <f>IFERROR(__xludf.DUMMYFUNCTION("""COMPUTED_VALUE"""),0.0)</f>
        <v>0</v>
      </c>
      <c r="Z8" s="40">
        <f>IFERROR(__xludf.DUMMYFUNCTION("""COMPUTED_VALUE"""),0.0)</f>
        <v>0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</row>
    <row r="9">
      <c r="A9" s="9" t="str">
        <f>IFERROR(__xludf.DUMMYFUNCTION("""COMPUTED_VALUE"""),"PRICE PER SKU")</f>
        <v>PRICE PER SKU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 t="str">
        <f>IFERROR(__xludf.DUMMYFUNCTION("""COMPUTED_VALUE""")," AMOUNT SOLD PER SKU")</f>
        <v> AMOUNT SOLD PER SKU</v>
      </c>
      <c r="B10" s="9">
        <f>IFERROR(__xludf.DUMMYFUNCTION("""COMPUTED_VALUE"""),0.0)</f>
        <v>0</v>
      </c>
      <c r="C10" s="9">
        <f>IFERROR(__xludf.DUMMYFUNCTION("""COMPUTED_VALUE"""),0.0)</f>
        <v>0</v>
      </c>
      <c r="D10" s="9">
        <f>IFERROR(__xludf.DUMMYFUNCTION("""COMPUTED_VALUE"""),0.0)</f>
        <v>0</v>
      </c>
      <c r="E10" s="9">
        <f>IFERROR(__xludf.DUMMYFUNCTION("""COMPUTED_VALUE"""),0.0)</f>
        <v>0</v>
      </c>
      <c r="F10" s="9">
        <f>IFERROR(__xludf.DUMMYFUNCTION("""COMPUTED_VALUE"""),0.0)</f>
        <v>0</v>
      </c>
      <c r="G10" s="9">
        <f>IFERROR(__xludf.DUMMYFUNCTION("""COMPUTED_VALUE"""),0.0)</f>
        <v>0</v>
      </c>
      <c r="H10" s="9">
        <f>IFERROR(__xludf.DUMMYFUNCTION("""COMPUTED_VALUE"""),0.0)</f>
        <v>0</v>
      </c>
      <c r="I10" s="9">
        <f>IFERROR(__xludf.DUMMYFUNCTION("""COMPUTED_VALUE"""),0.0)</f>
        <v>0</v>
      </c>
      <c r="J10" s="9">
        <f>IFERROR(__xludf.DUMMYFUNCTION("""COMPUTED_VALUE"""),0.0)</f>
        <v>0</v>
      </c>
      <c r="K10" s="9">
        <f>IFERROR(__xludf.DUMMYFUNCTION("""COMPUTED_VALUE"""),0.0)</f>
        <v>0</v>
      </c>
      <c r="L10" s="9">
        <f>IFERROR(__xludf.DUMMYFUNCTION("""COMPUTED_VALUE"""),0.0)</f>
        <v>0</v>
      </c>
      <c r="M10" s="9">
        <f>IFERROR(__xludf.DUMMYFUNCTION("""COMPUTED_VALUE"""),0.0)</f>
        <v>0</v>
      </c>
      <c r="N10" s="9">
        <f>IFERROR(__xludf.DUMMYFUNCTION("""COMPUTED_VALUE"""),0.0)</f>
        <v>0</v>
      </c>
      <c r="O10" s="9">
        <f>IFERROR(__xludf.DUMMYFUNCTION("""COMPUTED_VALUE"""),0.0)</f>
        <v>0</v>
      </c>
      <c r="P10" s="9">
        <f>IFERROR(__xludf.DUMMYFUNCTION("""COMPUTED_VALUE"""),0.0)</f>
        <v>0</v>
      </c>
      <c r="Q10" s="9">
        <f>IFERROR(__xludf.DUMMYFUNCTION("""COMPUTED_VALUE"""),0.0)</f>
        <v>0</v>
      </c>
      <c r="R10" s="9">
        <f>IFERROR(__xludf.DUMMYFUNCTION("""COMPUTED_VALUE"""),0.0)</f>
        <v>0</v>
      </c>
      <c r="S10" s="9">
        <f>IFERROR(__xludf.DUMMYFUNCTION("""COMPUTED_VALUE"""),0.0)</f>
        <v>0</v>
      </c>
      <c r="T10" s="9">
        <f>IFERROR(__xludf.DUMMYFUNCTION("""COMPUTED_VALUE"""),0.0)</f>
        <v>0</v>
      </c>
      <c r="U10" s="9">
        <f>IFERROR(__xludf.DUMMYFUNCTION("""COMPUTED_VALUE"""),0.0)</f>
        <v>0</v>
      </c>
      <c r="V10" s="9">
        <f>IFERROR(__xludf.DUMMYFUNCTION("""COMPUTED_VALUE"""),0.0)</f>
        <v>0</v>
      </c>
      <c r="W10" s="9">
        <f>IFERROR(__xludf.DUMMYFUNCTION("""COMPUTED_VALUE"""),0.0)</f>
        <v>0</v>
      </c>
      <c r="X10" s="9">
        <f>IFERROR(__xludf.DUMMYFUNCTION("""COMPUTED_VALUE"""),0.0)</f>
        <v>0</v>
      </c>
      <c r="Y10" s="9">
        <f>IFERROR(__xludf.DUMMYFUNCTION("""COMPUTED_VALUE"""),0.0)</f>
        <v>0</v>
      </c>
      <c r="Z10" s="9">
        <f>IFERROR(__xludf.DUMMYFUNCTION("""COMPUTED_VALUE"""),0.0)</f>
        <v>0</v>
      </c>
      <c r="AA10" s="9">
        <f>IFERROR(__xludf.DUMMYFUNCTION("""COMPUTED_VALUE"""),0.0)</f>
        <v>0</v>
      </c>
    </row>
    <row r="11">
      <c r="A11" s="9" t="str">
        <f>IFERROR(__xludf.DUMMYFUNCTION("""COMPUTED_VALUE"""),"TOTAL AMOUNT SOLD")</f>
        <v>TOTAL AMOUNT SOLD</v>
      </c>
      <c r="B11" s="9">
        <f>IFERROR(__xludf.DUMMYFUNCTION("""COMPUTED_VALUE"""),0.0)</f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63"/>
    <col customWidth="1" min="4" max="4" width="23.25"/>
  </cols>
  <sheetData>
    <row r="1">
      <c r="A1" s="42" t="s">
        <v>52</v>
      </c>
      <c r="B1" s="43">
        <f>TODAY()</f>
        <v>45889</v>
      </c>
      <c r="C1" s="44" t="str">
        <f>IFERROR(__xludf.DUMMYFUNCTION("IMPORTRANGE(""https://docs.google.com/spreadsheets/d/1oBfDIwRefgDKmTMY5WskKiEbAKkDNkwzBkuwbN-8H_M/edit#gid=0"",""flat price!B1:B35"")"),"#REF!")</f>
        <v>#REF!</v>
      </c>
      <c r="D1" s="42" t="s">
        <v>53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9" t="str">
        <f>'FC inventory'!D1</f>
        <v>Agemawo 1kg</v>
      </c>
      <c r="B2" s="21">
        <f>SUM(Apata!B5,Alakia!B5,Bashorun!B5,BCT!B5,Eleyele!B5,Felele!B5)</f>
        <v>0</v>
      </c>
      <c r="D2" s="9">
        <f t="shared" ref="D2:D32" si="1">B2*C2</f>
        <v>0</v>
      </c>
    </row>
    <row r="3">
      <c r="A3" s="9" t="str">
        <f>'FC inventory'!E1</f>
        <v>Boneless Beef 1kg</v>
      </c>
      <c r="B3" s="21">
        <f>SUM(Apata!C5,Alakia!C5,Bashorun!C5,BCT!C5,Eleyele!C5,Felele!C5)</f>
        <v>0</v>
      </c>
      <c r="D3" s="9">
        <f t="shared" si="1"/>
        <v>0</v>
      </c>
    </row>
    <row r="4">
      <c r="A4" s="9" t="str">
        <f>'FC inventory'!F1</f>
        <v>Cow Hump 1kg</v>
      </c>
      <c r="B4" s="21">
        <f>SUM(Apata!D$5,Alakia!D$5,Bashorun!D$5,BCT!D$5,Eleyele!D$5,Felele!D$5)</f>
        <v>0</v>
      </c>
      <c r="D4" s="9">
        <f t="shared" si="1"/>
        <v>0</v>
      </c>
    </row>
    <row r="5">
      <c r="A5" s="9" t="str">
        <f>'FC inventory'!G1</f>
        <v>Cow Head &amp; Neck 1kg</v>
      </c>
      <c r="B5" s="21">
        <f>SUM(Apata!E$5,Alakia!E$5,Bashorun!E$5,BCT!E$5,Eleyele!E$5,Felele!E$5)</f>
        <v>0</v>
      </c>
      <c r="D5" s="9">
        <f t="shared" si="1"/>
        <v>0</v>
      </c>
    </row>
    <row r="6">
      <c r="A6" s="9" t="str">
        <f>'FC inventory'!H1</f>
        <v>Goat Meat 1kg</v>
      </c>
      <c r="B6" s="21">
        <f>SUM(Apata!F$5,Alakia!F$5,Bashorun!F$5,BCT!F$5,Eleyele!F$5,Felele!F$5)</f>
        <v>0</v>
      </c>
      <c r="D6" s="9">
        <f t="shared" si="1"/>
        <v>0</v>
      </c>
    </row>
    <row r="7">
      <c r="A7" s="9" t="str">
        <f>'FC inventory'!I1</f>
        <v>Chicken 1kg</v>
      </c>
      <c r="B7" s="21">
        <f>SUM(Apata!G$5,Alakia!G$5,Bashorun!G$5,BCT!G$5,Eleyele!G$5,Felele!G$5)</f>
        <v>0</v>
      </c>
      <c r="D7" s="9">
        <f t="shared" si="1"/>
        <v>0</v>
      </c>
    </row>
    <row r="8">
      <c r="A8" s="9" t="str">
        <f>'FC inventory'!J1</f>
        <v>Titus 1kg (uncleaned)</v>
      </c>
      <c r="B8" s="21">
        <f>SUM(Apata!H$5,Alakia!H$5,Bashorun!H$5,BCT!H$5,Eleyele!H$5,Felele!H$5)</f>
        <v>0</v>
      </c>
      <c r="D8" s="9">
        <f t="shared" si="1"/>
        <v>0</v>
      </c>
    </row>
    <row r="9">
      <c r="A9" s="9" t="str">
        <f>'FC inventory'!K1</f>
        <v>Titus 1kg (Cleaned)</v>
      </c>
      <c r="B9" s="21">
        <f>SUM(Apata!I$5,Alakia!I$5,Bashorun!I$5,BCT!I$5,Eleyele!I$5,Felele!I$5)</f>
        <v>0</v>
      </c>
      <c r="D9" s="9">
        <f t="shared" si="1"/>
        <v>0</v>
      </c>
    </row>
    <row r="10">
      <c r="A10" s="9" t="str">
        <f>'FC inventory'!L1</f>
        <v>Hake 1kg (Cleaned)</v>
      </c>
      <c r="B10" s="21">
        <f>SUM(Apata!J$5,Alakia!J$5,Bashorun!J$5,BCT!J$5,Eleyele!J$5,Felele!J$5)</f>
        <v>0</v>
      </c>
      <c r="D10" s="9">
        <f t="shared" si="1"/>
        <v>0</v>
      </c>
    </row>
    <row r="11">
      <c r="A11" s="9" t="str">
        <f>'FC inventory'!M1</f>
        <v>Hake 1kg (Uncleaned)</v>
      </c>
      <c r="B11" s="21">
        <f>SUM(Apata!K$5,Alakia!K$5,Bashorun!K$5,BCT!K$5,Eleyele!K$5,Felele!K$5)</f>
        <v>0</v>
      </c>
      <c r="D11" s="9">
        <f t="shared" si="1"/>
        <v>0</v>
      </c>
    </row>
    <row r="12">
      <c r="A12" s="9" t="str">
        <f>'FC inventory'!N1</f>
        <v>Value Pack (Cow Tongue)</v>
      </c>
      <c r="B12" s="21">
        <f>SUM(Apata!L$5,Alakia!L$5,Bashorun!L$5,BCT!L$5,Eleyele!L$5,Felele!L$5)</f>
        <v>0</v>
      </c>
      <c r="D12" s="9">
        <f t="shared" si="1"/>
        <v>0</v>
      </c>
    </row>
    <row r="13">
      <c r="A13" s="9" t="str">
        <f>'FC inventory'!O1</f>
        <v>Value Pack (Cow Assorted)</v>
      </c>
      <c r="B13" s="21">
        <f>SUM(Apata!M$5,Alakia!M$5,Bashorun!M$5,BCT!M$5,Eleyele!M$5,Felele!M$5)</f>
        <v>0</v>
      </c>
      <c r="D13" s="9">
        <f t="shared" si="1"/>
        <v>0</v>
      </c>
    </row>
    <row r="14">
      <c r="A14" s="9" t="str">
        <f>'FC inventory'!P1</f>
        <v>Token Pack (Cow Minced Meat)</v>
      </c>
      <c r="B14" s="21">
        <f>SUM(Apata!N$5,Alakia!N$5,Bashorun!N$5,BCT!N$5,Eleyele!N$5,Felele!N$5)</f>
        <v>0</v>
      </c>
      <c r="D14" s="9">
        <f t="shared" si="1"/>
        <v>0</v>
      </c>
    </row>
    <row r="15">
      <c r="A15" s="9" t="str">
        <f>'FC inventory'!Q1</f>
        <v>Token Pack (Agemawo)</v>
      </c>
      <c r="B15" s="21">
        <f>SUM(Apata!O$5,Alakia!O$5,Bashorun!O$5,BCT!O$5,Eleyele!O$5,Felele!O$5)</f>
        <v>0</v>
      </c>
      <c r="D15" s="9">
        <f t="shared" si="1"/>
        <v>0</v>
      </c>
    </row>
    <row r="16">
      <c r="A16" s="9" t="str">
        <f>'FC inventory'!R1</f>
        <v>Token pack(boneless beef)</v>
      </c>
      <c r="B16" s="21">
        <f>SUM(Apata!P$5,Alakia!P$5,Bashorun!P$5,BCT!P$5,Eleyele!P$5,Felele!P$5)</f>
        <v>0</v>
      </c>
      <c r="D16" s="9">
        <f t="shared" si="1"/>
        <v>0</v>
      </c>
    </row>
    <row r="17">
      <c r="A17" s="9" t="str">
        <f>'FC inventory'!S1</f>
        <v>Token Pack (Cow Tail)</v>
      </c>
      <c r="B17" s="21">
        <f>SUM(Apata!Q$5,Alakia!Q$5,Bashorun!Q$5,BCT!Q$5,Eleyele!Q$5,Felele!Q$5)</f>
        <v>0</v>
      </c>
      <c r="D17" s="9">
        <f t="shared" si="1"/>
        <v>0</v>
      </c>
    </row>
    <row r="18">
      <c r="A18" s="9" t="str">
        <f>'FC inventory'!T1</f>
        <v>Token Pack (Cow Head &amp; Neck)</v>
      </c>
      <c r="B18" s="21">
        <f>SUM(Apata!R$5,Alakia!R$5,Bashorun!R$5,BCT!R$5,Eleyele!R$5,Felele!R$5)</f>
        <v>0</v>
      </c>
      <c r="D18" s="9">
        <f t="shared" si="1"/>
        <v>0</v>
      </c>
    </row>
    <row r="19">
      <c r="A19" s="9" t="str">
        <f>'FC inventory'!U1</f>
        <v>Token Pack (Cow Hump)</v>
      </c>
      <c r="B19" s="21">
        <f>SUM(Apata!S$5,Alakia!S$5,Bashorun!S$5,BCT!S$5,Eleyele!S$5,Felele!S$5)</f>
        <v>0</v>
      </c>
      <c r="D19" s="9">
        <f t="shared" si="1"/>
        <v>0</v>
      </c>
    </row>
    <row r="20">
      <c r="A20" s="9" t="str">
        <f>'FC inventory'!V1</f>
        <v>Token Pack (Goat Meat)</v>
      </c>
      <c r="B20" s="21">
        <f>SUM(Apata!T$5,Alakia!T$5,Bashorun!T$5,BCT!T$5,Eleyele!T$5,Felele!T$5)</f>
        <v>0</v>
      </c>
      <c r="D20" s="9">
        <f t="shared" si="1"/>
        <v>0</v>
      </c>
    </row>
    <row r="21">
      <c r="A21" s="9" t="str">
        <f>'FC inventory'!W1</f>
        <v>Token Pack (Chicken)</v>
      </c>
      <c r="B21" s="21">
        <f>SUM(Apata!U$5,Alakia!U$5,Bashorun!U$5,BCT!U$5,Eleyele!U$5,Felele!U$5)</f>
        <v>0</v>
      </c>
      <c r="D21" s="9">
        <f t="shared" si="1"/>
        <v>0</v>
      </c>
    </row>
    <row r="22">
      <c r="A22" s="9" t="str">
        <f>'FC inventory'!X1</f>
        <v>Token Pack (Chicken Gizzard)</v>
      </c>
      <c r="B22" s="21">
        <f>SUM(Apata!V$5,Alakia!V$5,Bashorun!V$5,BCT!V$5,Eleyele!V$5,Felele!V$5)</f>
        <v>0</v>
      </c>
      <c r="D22" s="9">
        <f t="shared" si="1"/>
        <v>0</v>
      </c>
    </row>
    <row r="23">
      <c r="A23" s="9" t="str">
        <f>'FC inventory'!Y1</f>
        <v>Token Pack (Pomo)</v>
      </c>
      <c r="B23" s="21">
        <f>SUM(Apata!W$5,Alakia!W$5,Bashorun!W$5,BCT!W$5,Eleyele!W$5,Felele!W$5)</f>
        <v>0</v>
      </c>
      <c r="D23" s="9">
        <f t="shared" si="1"/>
        <v>0</v>
      </c>
    </row>
    <row r="24">
      <c r="A24" s="9" t="str">
        <f>'FC inventory'!Z1</f>
        <v>Token Pack (Shaki &amp; Roundabout)</v>
      </c>
      <c r="B24" s="21">
        <f>SUM(Apata!X$5,Alakia!X$5,Bashorun!X$5,BCT!X$5,Eleyele!X$5,Felele!X$5)</f>
        <v>0</v>
      </c>
      <c r="D24" s="9">
        <f t="shared" si="1"/>
        <v>0</v>
      </c>
    </row>
    <row r="25">
      <c r="A25" s="9" t="str">
        <f>'FC inventory'!AA1</f>
        <v>Token Pack (Cow Assorted)</v>
      </c>
      <c r="B25" s="21">
        <f>SUM(Apata!Y$5,Alakia!Y$5,Bashorun!Y$5,BCT!Y$5,Eleyele!Y$5,Felele!Y$5)</f>
        <v>0</v>
      </c>
      <c r="D25" s="9">
        <f t="shared" si="1"/>
        <v>0</v>
      </c>
    </row>
    <row r="26">
      <c r="A26" s="9" t="str">
        <f>'FC inventory'!AB1</f>
        <v>Token Pack (Cow Leg)</v>
      </c>
      <c r="B26" s="21">
        <f>SUM(Apata!Z$5,Alakia!Z$5,Bashorun!Z$5,BCT!Z$5,Eleyele!Z$5,Felele!Z$5)</f>
        <v>0</v>
      </c>
      <c r="D26" s="9">
        <f t="shared" si="1"/>
        <v>0</v>
      </c>
    </row>
    <row r="27">
      <c r="A27" s="9" t="str">
        <f>'FC inventory'!AC1</f>
        <v>Token Pack (Goat Assorted)</v>
      </c>
      <c r="B27" s="21">
        <f>SUM(Apata!AA$5,Alakia!AA$5,Bashorun!AA$5,BCT!AA$5,Eleyele!AA$5,Felele!AA$5)</f>
        <v>0</v>
      </c>
      <c r="D27" s="9">
        <f t="shared" si="1"/>
        <v>0</v>
      </c>
    </row>
    <row r="28">
      <c r="A28" s="9" t="str">
        <f>'FC inventory'!AD1</f>
        <v>Token Pack (Titus)</v>
      </c>
      <c r="B28" s="21">
        <f>SUM(Apata!AB$5,Alakia!AB$5,Bashorun!AB$5,BCT!AB$5,Eleyele!AB$5,Felele!AB$5)</f>
        <v>0</v>
      </c>
      <c r="D28" s="9">
        <f t="shared" si="1"/>
        <v>0</v>
      </c>
    </row>
    <row r="29">
      <c r="A29" s="9" t="str">
        <f>'FC inventory'!AE1</f>
        <v>Token Pack (Hake)</v>
      </c>
      <c r="B29" s="21">
        <f>SUM(Apata!AC$5,Alakia!AC$5,Bashorun!AC$5,BCT!AC$5,Eleyele!AC$5,Felele!AC$5)</f>
        <v>0</v>
      </c>
      <c r="D29" s="9">
        <f t="shared" si="1"/>
        <v>0</v>
      </c>
    </row>
    <row r="30">
      <c r="A30" s="9" t="str">
        <f>'FC inventory'!AF1</f>
        <v>Token (small snail)</v>
      </c>
      <c r="B30" s="21">
        <f>SUM(Apata!AD$5,Alakia!AD$5,Bashorun!AD$5,BCT!AD$5,Eleyele!AD$5,Felele!AD$5)</f>
        <v>0</v>
      </c>
      <c r="D30" s="9">
        <f t="shared" si="1"/>
        <v>0</v>
      </c>
    </row>
    <row r="31">
      <c r="A31" s="9" t="str">
        <f>'FC inventory'!AG1</f>
        <v>Token (big snail)</v>
      </c>
      <c r="B31" s="21">
        <f>SUM(Apata!AE$5,Alakia!AE$5,Bashorun!AE$5,BCT!AE$5,Eleyele!AE$5,Felele!AE$5)</f>
        <v>0</v>
      </c>
      <c r="D31" s="9">
        <f t="shared" si="1"/>
        <v>0</v>
      </c>
    </row>
    <row r="32">
      <c r="A32" s="7" t="str">
        <f>'FC inventory'!AH1</f>
        <v>Token (Goat head &amp; leg)</v>
      </c>
      <c r="B32" s="21">
        <f>SUM(Apata!AF$5,Alakia!AF$5,Bashorun!AF$5,BCT!AF$5,Eleyele!AF$5,Felele!AF$5)</f>
        <v>0</v>
      </c>
      <c r="D32" s="9">
        <f t="shared" si="1"/>
        <v>0</v>
      </c>
    </row>
    <row r="33">
      <c r="A33" s="32" t="s">
        <v>54</v>
      </c>
      <c r="B33" s="45">
        <f>SUM(B2:B32)</f>
        <v>0</v>
      </c>
      <c r="C33" s="46"/>
      <c r="D33" s="24">
        <f>SUM(D2:D32)</f>
        <v>0</v>
      </c>
    </row>
    <row r="34">
      <c r="A34" s="32" t="s">
        <v>55</v>
      </c>
      <c r="B34" s="47"/>
      <c r="C34" s="46"/>
      <c r="D34" s="24" t="str">
        <f>D33/B33</f>
        <v>#DIV/0!</v>
      </c>
    </row>
  </sheetData>
  <mergeCells count="2">
    <mergeCell ref="B33:C33"/>
    <mergeCell ref="B34:C34"/>
  </mergeCells>
  <drawing r:id="rId1"/>
</worksheet>
</file>